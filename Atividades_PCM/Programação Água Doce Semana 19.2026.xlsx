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licers/slicer3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yane.sampaio\Downloads\"/>
    </mc:Choice>
  </mc:AlternateContent>
  <xr:revisionPtr revIDLastSave="0" documentId="13_ncr:1_{E66F37D6-B965-4A51-B88F-F2FB737FF9BC}" xr6:coauthVersionLast="47" xr6:coauthVersionMax="47" xr10:uidLastSave="{00000000-0000-0000-0000-000000000000}"/>
  <bookViews>
    <workbookView xWindow="-120" yWindow="-120" windowWidth="29040" windowHeight="15720" xr2:uid="{E31DA6A7-E8C8-4ADF-9D87-03CDAD850157}"/>
  </bookViews>
  <sheets>
    <sheet name="Resumo de Atividades" sheetId="6" r:id="rId1"/>
    <sheet name="Planilha2" sheetId="11" r:id="rId2"/>
    <sheet name="Base de Envio" sheetId="2" r:id="rId3"/>
    <sheet name="Índice Semanal" sheetId="5" r:id="rId4"/>
    <sheet name="Utilidades (2)" sheetId="7" r:id="rId5"/>
  </sheets>
  <externalReferences>
    <externalReference r:id="rId6"/>
  </externalReferences>
  <definedNames>
    <definedName name="_xlnm._FilterDatabase" localSheetId="2" hidden="1">'Base de Envio'!$A$1:$W$1</definedName>
    <definedName name="_xlnm.Print_Area" localSheetId="2">'Base de Envio'!$A$1:$R$4</definedName>
    <definedName name="Materiais">[1]!Tabela10[Descrição Materiais]</definedName>
    <definedName name="SegmentaçãodeDados_Cód._Justificativa">#N/A</definedName>
    <definedName name="SegmentaçãodeDados_cod_equipe">#N/A</definedName>
    <definedName name="SegmentaçãodeDados_Complexo">#N/A</definedName>
    <definedName name="SegmentaçãodeDados_Complexo1">#N/A</definedName>
    <definedName name="SegmentaçãodeDados_Complexo11">#N/A</definedName>
    <definedName name="SegmentaçãodeDados_Complexo12">#N/A</definedName>
    <definedName name="SegmentaçãodeDados_Complexo2">#N/A</definedName>
    <definedName name="SegmentaçãodeDados_Equipe">#N/A</definedName>
    <definedName name="SegmentaçãodeDados_Parque">#N/A</definedName>
    <definedName name="SegmentaçãodeDados_Status_OS">#N/A</definedName>
    <definedName name="StatusExec">[1]!Tabela10[Status de Execução]</definedName>
    <definedName name="StatusExecTab">[1]!Tabela10[Status de Exec. Table]</definedName>
    <definedName name="StatusMat">[1]!Tabela10[Status de Materiais]</definedName>
    <definedName name="_xlnm.Print_Titles" localSheetId="2">'Base de Envio'!$1:$3</definedName>
  </definedNames>
  <calcPr calcId="191028"/>
  <pivotCaches>
    <pivotCache cacheId="15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  <x14:slicerCache r:id="rId14"/>
        <x14:slicerCache r:id="rId15"/>
        <x14:slicerCache r:id="rId16"/>
        <x14:slicerCache r:id="rId1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R45" i="5" l="1"/>
  <c r="Q45" i="5"/>
  <c r="Q30" i="5"/>
  <c r="Q38" i="5"/>
  <c r="Q36" i="5"/>
  <c r="R245" i="7" l="1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AK1" i="7"/>
  <c r="G42" i="5" l="1"/>
  <c r="G41" i="5"/>
  <c r="G38" i="5"/>
  <c r="G37" i="5"/>
  <c r="G36" i="5"/>
  <c r="G32" i="5"/>
  <c r="G31" i="5"/>
  <c r="F52" i="5"/>
  <c r="E52" i="5"/>
  <c r="D52" i="5"/>
  <c r="F51" i="5"/>
  <c r="E51" i="5"/>
  <c r="D51" i="5"/>
  <c r="G51" i="5" s="1"/>
  <c r="G52" i="5" l="1"/>
  <c r="F40" i="5"/>
  <c r="E40" i="5"/>
  <c r="D40" i="5"/>
  <c r="F35" i="5"/>
  <c r="E35" i="5"/>
  <c r="D35" i="5"/>
  <c r="F30" i="5"/>
  <c r="F50" i="5" s="1"/>
  <c r="D30" i="5"/>
  <c r="D50" i="5" s="1"/>
  <c r="E30" i="5"/>
  <c r="E50" i="5" s="1"/>
  <c r="G50" i="5" l="1"/>
  <c r="Q40" i="5"/>
  <c r="G39" i="5"/>
  <c r="Q34" i="5" l="1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33" i="5"/>
  <c r="G34" i="5"/>
  <c r="G43" i="5"/>
  <c r="G30" i="5" l="1"/>
  <c r="R38" i="5"/>
  <c r="E45" i="5"/>
  <c r="F45" i="5"/>
  <c r="G40" i="5"/>
  <c r="G35" i="5"/>
  <c r="D45" i="5"/>
  <c r="R30" i="5" l="1"/>
  <c r="R41" i="5"/>
  <c r="R39" i="5"/>
  <c r="R34" i="5"/>
  <c r="R40" i="5"/>
  <c r="R35" i="5"/>
  <c r="R33" i="5"/>
  <c r="R37" i="5"/>
  <c r="R36" i="5"/>
  <c r="R31" i="5"/>
  <c r="R42" i="5"/>
  <c r="R32" i="5"/>
  <c r="G45" i="5"/>
  <c r="Y1" i="2"/>
  <c r="C28" i="5" s="1"/>
  <c r="P28" i="5" s="1"/>
  <c r="B2" i="5" l="1"/>
</calcChain>
</file>

<file path=xl/sharedStrings.xml><?xml version="1.0" encoding="utf-8"?>
<sst xmlns="http://schemas.openxmlformats.org/spreadsheetml/2006/main" count="4864" uniqueCount="1069">
  <si>
    <t>Contagem de Ativo</t>
  </si>
  <si>
    <t>Rótulos de Coluna</t>
  </si>
  <si>
    <t>Ordens por Equipe x Dia da Semana</t>
  </si>
  <si>
    <t>Total Geral</t>
  </si>
  <si>
    <t>MN-PPG</t>
  </si>
  <si>
    <t>MN-QXB</t>
  </si>
  <si>
    <t>QLW-CE</t>
  </si>
  <si>
    <t>SW-PPG</t>
  </si>
  <si>
    <t>SW-QXB</t>
  </si>
  <si>
    <t>Complexo</t>
  </si>
  <si>
    <t>Equipe</t>
  </si>
  <si>
    <t>Ordem</t>
  </si>
  <si>
    <t>data_prevista</t>
  </si>
  <si>
    <t>Família</t>
  </si>
  <si>
    <t>Descrição Plano</t>
  </si>
  <si>
    <t>Nº Sem</t>
  </si>
  <si>
    <t>Instal.</t>
  </si>
  <si>
    <t>Localização</t>
  </si>
  <si>
    <t>Complemento</t>
  </si>
  <si>
    <t>Esquema</t>
  </si>
  <si>
    <t>Ativo</t>
  </si>
  <si>
    <t>Dt. Início</t>
  </si>
  <si>
    <t>Dt. Término</t>
  </si>
  <si>
    <t>Responsápel</t>
  </si>
  <si>
    <t>Observação</t>
  </si>
  <si>
    <t>Lote OS</t>
  </si>
  <si>
    <t>SI</t>
  </si>
  <si>
    <t>Status SI</t>
  </si>
  <si>
    <t>Status OS</t>
  </si>
  <si>
    <t>Cód. Justificativa</t>
  </si>
  <si>
    <t>Txt. Justificativa</t>
  </si>
  <si>
    <t>OS Desvio</t>
  </si>
  <si>
    <t>MOR</t>
  </si>
  <si>
    <t>INSPEÇÃO</t>
  </si>
  <si>
    <t>PPG</t>
  </si>
  <si>
    <t>SE-PPG</t>
  </si>
  <si>
    <t>SE-CAJ</t>
  </si>
  <si>
    <t>SE-AUD</t>
  </si>
  <si>
    <t>QXB</t>
  </si>
  <si>
    <t>SE-QXB</t>
  </si>
  <si>
    <t>Índice De Aderência A Programação De Manutenção - Ceará - Semana 07/2025</t>
  </si>
  <si>
    <t>Rótulos de Linha</t>
  </si>
  <si>
    <t>Resumo de Justificativas - Não Execução</t>
  </si>
  <si>
    <t>Resultado x Complexo x Equipe</t>
  </si>
  <si>
    <t>Executada</t>
  </si>
  <si>
    <t>Não Executada</t>
  </si>
  <si>
    <t>ST-WTG</t>
  </si>
  <si>
    <t>Acaraú</t>
  </si>
  <si>
    <t>Acaraú BOP</t>
  </si>
  <si>
    <t>Acaraú WTG</t>
  </si>
  <si>
    <t>Corretiva Não Planejada</t>
  </si>
  <si>
    <t>Atestado Médico</t>
  </si>
  <si>
    <t>Atividade Admistrativa</t>
  </si>
  <si>
    <t>Atividade Cancelada</t>
  </si>
  <si>
    <t>Atv. Não Exec. no EQM</t>
  </si>
  <si>
    <t>Condição Insegura</t>
  </si>
  <si>
    <t>Condições Climáticas</t>
  </si>
  <si>
    <t>Desvio de Programação</t>
  </si>
  <si>
    <t>Equipamento Indisponível p/ Manut.</t>
  </si>
  <si>
    <t>Falha na Programação</t>
  </si>
  <si>
    <t>Falha no Cadastro do Ativo</t>
  </si>
  <si>
    <t>Falta Documentação</t>
  </si>
  <si>
    <t>Falta Equipamento Ensaio</t>
  </si>
  <si>
    <t>Falta Ferramenta</t>
  </si>
  <si>
    <t>Falta Material</t>
  </si>
  <si>
    <t>Justificativa Pendente</t>
  </si>
  <si>
    <t>Tempo Insuficiente</t>
  </si>
  <si>
    <t>Treinamento</t>
  </si>
  <si>
    <t>Fornecedor Não Compareceu</t>
  </si>
  <si>
    <t>PEOL-QXB</t>
  </si>
  <si>
    <t>PEOL-BUR</t>
  </si>
  <si>
    <t/>
  </si>
  <si>
    <t>PEOL-MOR</t>
  </si>
  <si>
    <t>PEOL-COQ</t>
  </si>
  <si>
    <t>SE-MOR</t>
  </si>
  <si>
    <t>SU-COQ</t>
  </si>
  <si>
    <t>SU-MOR</t>
  </si>
  <si>
    <t>PEOL-CAJ</t>
  </si>
  <si>
    <t>02T1</t>
  </si>
  <si>
    <t>SU 16</t>
  </si>
  <si>
    <t>SU 18</t>
  </si>
  <si>
    <t>SU 17</t>
  </si>
  <si>
    <t>SU 15</t>
  </si>
  <si>
    <t>SU 14</t>
  </si>
  <si>
    <t>SU 13</t>
  </si>
  <si>
    <t>SU 12</t>
  </si>
  <si>
    <t>SU 11</t>
  </si>
  <si>
    <t>SU 10</t>
  </si>
  <si>
    <t>SU 09</t>
  </si>
  <si>
    <t>SU 08</t>
  </si>
  <si>
    <t>SU 07</t>
  </si>
  <si>
    <t>SU 06</t>
  </si>
  <si>
    <t>SU 05</t>
  </si>
  <si>
    <t>SU 04</t>
  </si>
  <si>
    <t>SU 03</t>
  </si>
  <si>
    <t>SU 02</t>
  </si>
  <si>
    <t>SU 01</t>
  </si>
  <si>
    <t>SE CAJ</t>
  </si>
  <si>
    <t>09B1</t>
  </si>
  <si>
    <t>REC</t>
  </si>
  <si>
    <t>SE MOR</t>
  </si>
  <si>
    <t>09B2</t>
  </si>
  <si>
    <t>02T2</t>
  </si>
  <si>
    <t>02B7</t>
  </si>
  <si>
    <t>02B6</t>
  </si>
  <si>
    <t>02T5</t>
  </si>
  <si>
    <t>SE QXB</t>
  </si>
  <si>
    <t>MPP1 - INSPEÇÃO VISUAL - M6</t>
  </si>
  <si>
    <t>Código Padrão Energimp</t>
  </si>
  <si>
    <t>Cor</t>
  </si>
  <si>
    <t>Nº</t>
  </si>
  <si>
    <t>Dia da Semana</t>
  </si>
  <si>
    <t>Equipamento</t>
  </si>
  <si>
    <t>Circuito</t>
  </si>
  <si>
    <t>Região</t>
  </si>
  <si>
    <t>Parque</t>
  </si>
  <si>
    <t>Impacto Cub</t>
  </si>
  <si>
    <t>Quant.</t>
  </si>
  <si>
    <t>Atividade</t>
  </si>
  <si>
    <t>Total</t>
  </si>
  <si>
    <t>Demanda</t>
  </si>
  <si>
    <t>Pacote de Planos</t>
  </si>
  <si>
    <t>Previsão</t>
  </si>
  <si>
    <t>Status</t>
  </si>
  <si>
    <t>Modelo de Estutura LT - CE</t>
  </si>
  <si>
    <t>REF.</t>
  </si>
  <si>
    <t>EQUIPE</t>
  </si>
  <si>
    <t>EQUIPAMENTOS</t>
  </si>
  <si>
    <t xml:space="preserve">Instalação </t>
  </si>
  <si>
    <t>Ativos</t>
  </si>
  <si>
    <t>#314CB6</t>
  </si>
  <si>
    <t>Azul Escuro</t>
  </si>
  <si>
    <t>Domingo</t>
  </si>
  <si>
    <t>AMP-01</t>
  </si>
  <si>
    <t>Circuito 01</t>
  </si>
  <si>
    <t>Água Doce</t>
  </si>
  <si>
    <t>SC</t>
  </si>
  <si>
    <t>Amparo</t>
  </si>
  <si>
    <t>SU01</t>
  </si>
  <si>
    <t>Plano Essencial BOP Acaraú</t>
  </si>
  <si>
    <t>Em Andamento</t>
  </si>
  <si>
    <t>CVAR-PR</t>
  </si>
  <si>
    <t>POSTE DE CONCRETO COM CONEXÃO</t>
  </si>
  <si>
    <t>PPGBOP</t>
  </si>
  <si>
    <t>BOP</t>
  </si>
  <si>
    <t>COMPLEXO EÓLICO ÁGUA DOCE</t>
  </si>
  <si>
    <t>LT-AGD-AQB</t>
  </si>
  <si>
    <t>ADP_PSA</t>
  </si>
  <si>
    <t>#00D28D</t>
  </si>
  <si>
    <t>Verde Claro</t>
  </si>
  <si>
    <t>Segunda-Feira</t>
  </si>
  <si>
    <t>AMP-02</t>
  </si>
  <si>
    <t>SU02</t>
  </si>
  <si>
    <t>Plano Essencial WTG Acaraú</t>
  </si>
  <si>
    <t>CVAL-PR</t>
  </si>
  <si>
    <t>MORBOP</t>
  </si>
  <si>
    <t>ADP_VBA</t>
  </si>
  <si>
    <t>#74ADD5</t>
  </si>
  <si>
    <t>Azul Claro</t>
  </si>
  <si>
    <t>Terça-Feira</t>
  </si>
  <si>
    <t>AMP-03</t>
  </si>
  <si>
    <t>SU03</t>
  </si>
  <si>
    <t>Plano Essencial BOP Água Doce</t>
  </si>
  <si>
    <t>No Prazo</t>
  </si>
  <si>
    <t>CVALA-PR</t>
  </si>
  <si>
    <t>QXBBOP</t>
  </si>
  <si>
    <t>AGD_AQB</t>
  </si>
  <si>
    <t>#7F7F7F</t>
  </si>
  <si>
    <t>Cinza</t>
  </si>
  <si>
    <t>Quarta-Feira</t>
  </si>
  <si>
    <t>AMP-04</t>
  </si>
  <si>
    <t>Circuito 02</t>
  </si>
  <si>
    <t>SU04</t>
  </si>
  <si>
    <t>Plano Essencial WTG Água Doce</t>
  </si>
  <si>
    <t>CVAG-PR</t>
  </si>
  <si>
    <t>PPGWTG</t>
  </si>
  <si>
    <t>WTG</t>
  </si>
  <si>
    <t>VBA_PSA</t>
  </si>
  <si>
    <t>Quinta-Feira</t>
  </si>
  <si>
    <t>AMP-05</t>
  </si>
  <si>
    <t>SU05</t>
  </si>
  <si>
    <t>Plano Essencial BOP Bom Jardim</t>
  </si>
  <si>
    <t>CVAB-PR</t>
  </si>
  <si>
    <t>MORWTG</t>
  </si>
  <si>
    <t>PEOL-AMP</t>
  </si>
  <si>
    <t>C1</t>
  </si>
  <si>
    <t>Sexta-Feira</t>
  </si>
  <si>
    <t>AMP-06</t>
  </si>
  <si>
    <t>SU06</t>
  </si>
  <si>
    <t>Plano Essencial WTG Bom Jardim</t>
  </si>
  <si>
    <t>HAL-PR</t>
  </si>
  <si>
    <t>QXBWTG</t>
  </si>
  <si>
    <t>C2</t>
  </si>
  <si>
    <t>Sábado</t>
  </si>
  <si>
    <t>AMP-07</t>
  </si>
  <si>
    <t>SU07</t>
  </si>
  <si>
    <t>Plano Essencial BOP Quixaba</t>
  </si>
  <si>
    <t>HAB-PR</t>
  </si>
  <si>
    <t>PEOL-AQB</t>
  </si>
  <si>
    <t>AMP-08</t>
  </si>
  <si>
    <t>SU08</t>
  </si>
  <si>
    <t>Plano Essencial WTG Quixaba</t>
  </si>
  <si>
    <t>HALA-PR</t>
  </si>
  <si>
    <t>AMP-09</t>
  </si>
  <si>
    <t>SU09</t>
  </si>
  <si>
    <t>Plano Extra BOP Acaraú</t>
  </si>
  <si>
    <t>TAR-PR</t>
  </si>
  <si>
    <t>POSTE DE CONCRETO SEM CONEXÃO</t>
  </si>
  <si>
    <t>RDA</t>
  </si>
  <si>
    <t>AMP-10</t>
  </si>
  <si>
    <t>SU10</t>
  </si>
  <si>
    <t>Plano Extra WTG Acaraú</t>
  </si>
  <si>
    <t>HAR-PR</t>
  </si>
  <si>
    <t>PEOL-CAS</t>
  </si>
  <si>
    <t>AMP-11</t>
  </si>
  <si>
    <t>SU11</t>
  </si>
  <si>
    <t>Plano Extra BOP Água Doce</t>
  </si>
  <si>
    <t>PEOL-CBO</t>
  </si>
  <si>
    <t>AMP-12</t>
  </si>
  <si>
    <t>SU12</t>
  </si>
  <si>
    <t>Plano Extra WTG Água Doce</t>
  </si>
  <si>
    <t>PEOL-CRA</t>
  </si>
  <si>
    <t>AMP-13</t>
  </si>
  <si>
    <t>SU13</t>
  </si>
  <si>
    <t>Plano Extra BOP Bom Jardim</t>
  </si>
  <si>
    <t>AMP-14</t>
  </si>
  <si>
    <t>SU14</t>
  </si>
  <si>
    <t>Plano Extra WTG Bom Jardim</t>
  </si>
  <si>
    <t>PEOL-SAL</t>
  </si>
  <si>
    <t>AMP-15</t>
  </si>
  <si>
    <t>SU15</t>
  </si>
  <si>
    <t>Plano Extra BOP Quixaba</t>
  </si>
  <si>
    <t>AQB-01</t>
  </si>
  <si>
    <t>Aquibatã</t>
  </si>
  <si>
    <t>Plano Extra WTG Quixaba</t>
  </si>
  <si>
    <t>SE-AQB</t>
  </si>
  <si>
    <t>AQB-02</t>
  </si>
  <si>
    <t>05TT1</t>
  </si>
  <si>
    <t>AQB-03</t>
  </si>
  <si>
    <t>06TT2</t>
  </si>
  <si>
    <t>AQB-04</t>
  </si>
  <si>
    <t>07TT3</t>
  </si>
  <si>
    <t>AQB-05</t>
  </si>
  <si>
    <t>BARRA 1</t>
  </si>
  <si>
    <t>AQB-06</t>
  </si>
  <si>
    <t>BARRA 2</t>
  </si>
  <si>
    <t>AQB-07</t>
  </si>
  <si>
    <t>BARRA 3</t>
  </si>
  <si>
    <t>AQB-08</t>
  </si>
  <si>
    <t>BP</t>
  </si>
  <si>
    <t>AQB-09</t>
  </si>
  <si>
    <t>SE AQB</t>
  </si>
  <si>
    <t>AQB-10</t>
  </si>
  <si>
    <t>SU-AMP</t>
  </si>
  <si>
    <t>AQB-11</t>
  </si>
  <si>
    <t>AQB-12</t>
  </si>
  <si>
    <t>AQB-13</t>
  </si>
  <si>
    <t>AQB-14</t>
  </si>
  <si>
    <t>AQB-15</t>
  </si>
  <si>
    <t>AQB-16</t>
  </si>
  <si>
    <t>SU16</t>
  </si>
  <si>
    <t>AQB-17</t>
  </si>
  <si>
    <t>SU17</t>
  </si>
  <si>
    <t>AQB-18</t>
  </si>
  <si>
    <t>SU18</t>
  </si>
  <si>
    <t>AQB-19</t>
  </si>
  <si>
    <t>SU19</t>
  </si>
  <si>
    <t>AQB-20</t>
  </si>
  <si>
    <t>SU20</t>
  </si>
  <si>
    <t>BJS-01</t>
  </si>
  <si>
    <t>Bom Jardim</t>
  </si>
  <si>
    <t>BJS-02</t>
  </si>
  <si>
    <t>BJS-03</t>
  </si>
  <si>
    <t>BJS-04</t>
  </si>
  <si>
    <t>BJS-05</t>
  </si>
  <si>
    <t>SU-AQB</t>
  </si>
  <si>
    <t>BJS-06</t>
  </si>
  <si>
    <t>BJS-07</t>
  </si>
  <si>
    <t>BJS-08</t>
  </si>
  <si>
    <t>BJS-09</t>
  </si>
  <si>
    <t>BJS-10</t>
  </si>
  <si>
    <t>BJS-11</t>
  </si>
  <si>
    <t>BJS-12</t>
  </si>
  <si>
    <t>BJS-13</t>
  </si>
  <si>
    <t>BJS-14</t>
  </si>
  <si>
    <t>BJS-15</t>
  </si>
  <si>
    <t>BJS-16</t>
  </si>
  <si>
    <t>BJS-17</t>
  </si>
  <si>
    <t>BJS-18</t>
  </si>
  <si>
    <t>BJS-19</t>
  </si>
  <si>
    <t>BJS-20</t>
  </si>
  <si>
    <t>BUR-01</t>
  </si>
  <si>
    <t>Papagaios</t>
  </si>
  <si>
    <t>CE</t>
  </si>
  <si>
    <t>Buriti</t>
  </si>
  <si>
    <t>SU01,SU18-SU20</t>
  </si>
  <si>
    <t>BUR-02</t>
  </si>
  <si>
    <t>SU01-SU02,SU18-SU20</t>
  </si>
  <si>
    <t>BUR-03</t>
  </si>
  <si>
    <t>SU01-SU03,SU18-SU20</t>
  </si>
  <si>
    <t>SU 19</t>
  </si>
  <si>
    <t>BUR-04</t>
  </si>
  <si>
    <t>Circuito 03</t>
  </si>
  <si>
    <t>SU 20</t>
  </si>
  <si>
    <t>BUR-05</t>
  </si>
  <si>
    <t>SU04-SU05</t>
  </si>
  <si>
    <t>SU-CAS</t>
  </si>
  <si>
    <t>BUR-06</t>
  </si>
  <si>
    <t>SU04-SU06</t>
  </si>
  <si>
    <t>BUR-07</t>
  </si>
  <si>
    <t>SU04-SU07</t>
  </si>
  <si>
    <t>BUR-08</t>
  </si>
  <si>
    <t>SU04-SU08</t>
  </si>
  <si>
    <t>BUR-09</t>
  </si>
  <si>
    <t>SU04-SU09</t>
  </si>
  <si>
    <t>SU-CBO</t>
  </si>
  <si>
    <t>BUR-10</t>
  </si>
  <si>
    <t>SU04-SU10</t>
  </si>
  <si>
    <t>BUR-11</t>
  </si>
  <si>
    <t>SU11-SU17</t>
  </si>
  <si>
    <t>BUR-12</t>
  </si>
  <si>
    <t>SU12-SU17</t>
  </si>
  <si>
    <t>BUR-13</t>
  </si>
  <si>
    <t>SU13-SU17</t>
  </si>
  <si>
    <t>BUR-14</t>
  </si>
  <si>
    <t>SU14-SU17</t>
  </si>
  <si>
    <t>BUR-15</t>
  </si>
  <si>
    <t>SU15-SU17</t>
  </si>
  <si>
    <t>BUR-16</t>
  </si>
  <si>
    <t>SU16-SU17</t>
  </si>
  <si>
    <t>SU-CRA</t>
  </si>
  <si>
    <t>BUR-17</t>
  </si>
  <si>
    <t>BUR-18</t>
  </si>
  <si>
    <t>BUR-19</t>
  </si>
  <si>
    <t>SU18-SU19</t>
  </si>
  <si>
    <t>BUR-20</t>
  </si>
  <si>
    <t>SU18-SU20</t>
  </si>
  <si>
    <t>CAJ-01</t>
  </si>
  <si>
    <t>Cajucoco</t>
  </si>
  <si>
    <t>Fusível</t>
  </si>
  <si>
    <t>CAJ-02</t>
  </si>
  <si>
    <t>SU01-SU02</t>
  </si>
  <si>
    <t>CAJ-03</t>
  </si>
  <si>
    <t>SU01-SU03</t>
  </si>
  <si>
    <t>CAJ-04</t>
  </si>
  <si>
    <t>SU01-SU04</t>
  </si>
  <si>
    <t>CAJ-05</t>
  </si>
  <si>
    <t>SU01-SU06</t>
  </si>
  <si>
    <t>CAJ-06</t>
  </si>
  <si>
    <t>CAJ-07</t>
  </si>
  <si>
    <t>SU07-SU13</t>
  </si>
  <si>
    <t>CAJ-08</t>
  </si>
  <si>
    <t>SU08-SU13</t>
  </si>
  <si>
    <t>CAJ-09</t>
  </si>
  <si>
    <t>SU09-SU13</t>
  </si>
  <si>
    <t>CAJ-10</t>
  </si>
  <si>
    <t>SU10-SU13</t>
  </si>
  <si>
    <t>CAJ-11</t>
  </si>
  <si>
    <t>SU11-SU13</t>
  </si>
  <si>
    <t>CAJ-12</t>
  </si>
  <si>
    <t>SU12-SU13</t>
  </si>
  <si>
    <t>CAJ-13</t>
  </si>
  <si>
    <t>SU13-SU20</t>
  </si>
  <si>
    <t>CAJ-14</t>
  </si>
  <si>
    <t>SU14-SU20</t>
  </si>
  <si>
    <t>CAJ-15</t>
  </si>
  <si>
    <t>SU15-SU20</t>
  </si>
  <si>
    <t>CAJ-16</t>
  </si>
  <si>
    <t>SU16-SU20</t>
  </si>
  <si>
    <t>SU-SAL</t>
  </si>
  <si>
    <t>CAJ-17</t>
  </si>
  <si>
    <t>SU17-SU20</t>
  </si>
  <si>
    <t>CAJ-18</t>
  </si>
  <si>
    <t>CAJ-19</t>
  </si>
  <si>
    <t>SU19-SU20</t>
  </si>
  <si>
    <t>CAJ-20</t>
  </si>
  <si>
    <t>CAS-01</t>
  </si>
  <si>
    <t>Cascata</t>
  </si>
  <si>
    <t>CAS-02</t>
  </si>
  <si>
    <t>CAS-03</t>
  </si>
  <si>
    <t>CAS-04</t>
  </si>
  <si>
    <t>CBO-01</t>
  </si>
  <si>
    <t>Campo Belo</t>
  </si>
  <si>
    <t>CBO-02</t>
  </si>
  <si>
    <t>CBO-03</t>
  </si>
  <si>
    <t>CBO-04</t>
  </si>
  <si>
    <t>CBO-05</t>
  </si>
  <si>
    <t>CBO-06</t>
  </si>
  <si>
    <t>CBO-07</t>
  </si>
  <si>
    <t>COQ-01</t>
  </si>
  <si>
    <t>Coqueiros</t>
  </si>
  <si>
    <t>COQ-02</t>
  </si>
  <si>
    <t>COQ-03</t>
  </si>
  <si>
    <t>COQ-04</t>
  </si>
  <si>
    <t>COQ-05</t>
  </si>
  <si>
    <t>SU01-SU05</t>
  </si>
  <si>
    <t>UEE-AGD</t>
  </si>
  <si>
    <t>AGD UEE</t>
  </si>
  <si>
    <t>COQ-06</t>
  </si>
  <si>
    <t>COMPLEXO EÓLICO BOM JARDIM DA SERRA</t>
  </si>
  <si>
    <t>LT-RDO-BJS</t>
  </si>
  <si>
    <t>LT RDO_BJS</t>
  </si>
  <si>
    <t>COQ-07</t>
  </si>
  <si>
    <t>SU01-SU07</t>
  </si>
  <si>
    <t>PEOL-BJS</t>
  </si>
  <si>
    <t>COQ-08</t>
  </si>
  <si>
    <t>SU01-SU08</t>
  </si>
  <si>
    <t>COQ-09</t>
  </si>
  <si>
    <t>SU01-SU09</t>
  </si>
  <si>
    <t>COQ-10</t>
  </si>
  <si>
    <t>SU01-SU10</t>
  </si>
  <si>
    <t>PEOL-PUL</t>
  </si>
  <si>
    <t>COQ-11</t>
  </si>
  <si>
    <t>SU11-SU18</t>
  </si>
  <si>
    <t>COQ-12</t>
  </si>
  <si>
    <t>SU12-SU18</t>
  </si>
  <si>
    <t>PEOL-RDO</t>
  </si>
  <si>
    <t>COQ-13</t>
  </si>
  <si>
    <t>SU13-SU18</t>
  </si>
  <si>
    <t>COQ-14</t>
  </si>
  <si>
    <t>SU14-SU18</t>
  </si>
  <si>
    <t>PEOL-STO</t>
  </si>
  <si>
    <t>COQ-15</t>
  </si>
  <si>
    <t>SU15-SU18</t>
  </si>
  <si>
    <t>SE-BJS</t>
  </si>
  <si>
    <t>SE BJS</t>
  </si>
  <si>
    <t>COQ-16</t>
  </si>
  <si>
    <t>SU16-SU18</t>
  </si>
  <si>
    <t>SE-RDO</t>
  </si>
  <si>
    <t>04B1</t>
  </si>
  <si>
    <t>COQ-17</t>
  </si>
  <si>
    <t>SU17-SU18</t>
  </si>
  <si>
    <t>04B2</t>
  </si>
  <si>
    <t>COQ-18</t>
  </si>
  <si>
    <t>BTE1</t>
  </si>
  <si>
    <t>CRA-01</t>
  </si>
  <si>
    <t>Cruz Alta</t>
  </si>
  <si>
    <t>BTE2</t>
  </si>
  <si>
    <t>CRA-02</t>
  </si>
  <si>
    <t>SE RDO</t>
  </si>
  <si>
    <t>CRA-03</t>
  </si>
  <si>
    <t>TE-1</t>
  </si>
  <si>
    <t>CRA-04</t>
  </si>
  <si>
    <t>TE-2</t>
  </si>
  <si>
    <t>CRA-05</t>
  </si>
  <si>
    <t>SU-BJS</t>
  </si>
  <si>
    <t>CRA-06</t>
  </si>
  <si>
    <t>CRA-07</t>
  </si>
  <si>
    <t>CRA-08</t>
  </si>
  <si>
    <t>CRA-09</t>
  </si>
  <si>
    <t>CRA-10</t>
  </si>
  <si>
    <t>CRA-11</t>
  </si>
  <si>
    <t>CRA-12</t>
  </si>
  <si>
    <t>CRA-13</t>
  </si>
  <si>
    <t>CRA-14</t>
  </si>
  <si>
    <t>CRA-15</t>
  </si>
  <si>
    <t>CRA-16</t>
  </si>
  <si>
    <t>CRA-17</t>
  </si>
  <si>
    <t>CRA-18</t>
  </si>
  <si>
    <t>CRA-19</t>
  </si>
  <si>
    <t>CRA-20</t>
  </si>
  <si>
    <t>MOR-01</t>
  </si>
  <si>
    <t>Morgado</t>
  </si>
  <si>
    <t>COMPLEXO EÓLICO PAPAGAIOS</t>
  </si>
  <si>
    <t>LT-CAJ</t>
  </si>
  <si>
    <t>CAJ 02C1</t>
  </si>
  <si>
    <t>MOR-02</t>
  </si>
  <si>
    <t>MOR-03</t>
  </si>
  <si>
    <t>09G1-3</t>
  </si>
  <si>
    <t>MOR-04</t>
  </si>
  <si>
    <t>SU01-SU02,SU04</t>
  </si>
  <si>
    <t>09G1-2</t>
  </si>
  <si>
    <t>MOR-05</t>
  </si>
  <si>
    <t>09G1-1</t>
  </si>
  <si>
    <t>MOR-06</t>
  </si>
  <si>
    <t>09G1</t>
  </si>
  <si>
    <t>MOR-07</t>
  </si>
  <si>
    <t>COMPLEXO EÓLICO MORGADO</t>
  </si>
  <si>
    <t>LTA-MOR</t>
  </si>
  <si>
    <t>02M1</t>
  </si>
  <si>
    <t>MOR-08</t>
  </si>
  <si>
    <t>SU08-SU09</t>
  </si>
  <si>
    <t>MOR-09</t>
  </si>
  <si>
    <t>MOR-10</t>
  </si>
  <si>
    <t>SU01-SU11</t>
  </si>
  <si>
    <t>MOR-11</t>
  </si>
  <si>
    <t>09G2</t>
  </si>
  <si>
    <t>MOR-12</t>
  </si>
  <si>
    <t>SU12-SU19</t>
  </si>
  <si>
    <t>Abrir Disjutor do Circuito e Extrair Disjuntor</t>
  </si>
  <si>
    <t>SE-CE1</t>
  </si>
  <si>
    <t>BAY 02M1</t>
  </si>
  <si>
    <t>MOR-13</t>
  </si>
  <si>
    <t>Isolar a chave posição aberto na SU-12</t>
  </si>
  <si>
    <t>UEE-MOR</t>
  </si>
  <si>
    <t>MOR UEE</t>
  </si>
  <si>
    <t>MOR-14</t>
  </si>
  <si>
    <t>SU13-SU19</t>
  </si>
  <si>
    <t>MOR-15</t>
  </si>
  <si>
    <t>Isolar a chave posição aberto na SU-16</t>
  </si>
  <si>
    <t>MOR-16</t>
  </si>
  <si>
    <t>SU15-SU19</t>
  </si>
  <si>
    <t>Isolar a chave posição aberto na SU-14</t>
  </si>
  <si>
    <t>MOR-17</t>
  </si>
  <si>
    <t>SU17-SU19</t>
  </si>
  <si>
    <t>MOR-18</t>
  </si>
  <si>
    <t>Isolar a chave posição aberto na SU-17</t>
  </si>
  <si>
    <t>02T3</t>
  </si>
  <si>
    <t>MOR-19</t>
  </si>
  <si>
    <t>Isolar a chave posição aberto na SU-18</t>
  </si>
  <si>
    <t>02T4</t>
  </si>
  <si>
    <t>PUL-01</t>
  </si>
  <si>
    <t>Púlpito</t>
  </si>
  <si>
    <t>PUL-02</t>
  </si>
  <si>
    <t>PUL-03</t>
  </si>
  <si>
    <t>PUL-04</t>
  </si>
  <si>
    <t>COMPLEXO EÓLICO QUIXABA</t>
  </si>
  <si>
    <t>UEE-QXB</t>
  </si>
  <si>
    <t>QXB UEE</t>
  </si>
  <si>
    <t>PUL-05</t>
  </si>
  <si>
    <t>SU-QXB</t>
  </si>
  <si>
    <t>PUL-06</t>
  </si>
  <si>
    <t>PUL-07</t>
  </si>
  <si>
    <t>PUL-08</t>
  </si>
  <si>
    <t>PUL-09</t>
  </si>
  <si>
    <t>PUL-10</t>
  </si>
  <si>
    <t>PUL-11</t>
  </si>
  <si>
    <t>PUL-12</t>
  </si>
  <si>
    <t>PUL-13</t>
  </si>
  <si>
    <t>PUL-14</t>
  </si>
  <si>
    <t>PUL-15</t>
  </si>
  <si>
    <t>PUL-16</t>
  </si>
  <si>
    <t>PUL-17</t>
  </si>
  <si>
    <t>PUL-18</t>
  </si>
  <si>
    <t>PUL-19</t>
  </si>
  <si>
    <t>PUL-20</t>
  </si>
  <si>
    <t>QXB-01</t>
  </si>
  <si>
    <t>Quixaba</t>
  </si>
  <si>
    <t>QXB-02</t>
  </si>
  <si>
    <t>SU02-SU09</t>
  </si>
  <si>
    <t>QXB-03</t>
  </si>
  <si>
    <t>SU03-SU09</t>
  </si>
  <si>
    <t>BR</t>
  </si>
  <si>
    <t>QXB-04</t>
  </si>
  <si>
    <t>QXB-05</t>
  </si>
  <si>
    <t>SU05-SU09</t>
  </si>
  <si>
    <t>SE-JGA</t>
  </si>
  <si>
    <t>SE JGA</t>
  </si>
  <si>
    <t>QXB-06</t>
  </si>
  <si>
    <t>SU06-SU09</t>
  </si>
  <si>
    <t>QXB-07</t>
  </si>
  <si>
    <t>SU07-SU09</t>
  </si>
  <si>
    <t>09P2</t>
  </si>
  <si>
    <t>QXB-08</t>
  </si>
  <si>
    <t>09P1</t>
  </si>
  <si>
    <t>QXB-09</t>
  </si>
  <si>
    <t>LTA-QXB</t>
  </si>
  <si>
    <t>02M5</t>
  </si>
  <si>
    <t>QXB-10</t>
  </si>
  <si>
    <t>SU10-SU17</t>
  </si>
  <si>
    <t>UEE-PPG</t>
  </si>
  <si>
    <t>PPG UEE</t>
  </si>
  <si>
    <t>QXB-11</t>
  </si>
  <si>
    <t>QXB-12</t>
  </si>
  <si>
    <t>QXB-13</t>
  </si>
  <si>
    <t>QXB-14</t>
  </si>
  <si>
    <t>QXB-15</t>
  </si>
  <si>
    <t>QXB-16</t>
  </si>
  <si>
    <t>QXB-17</t>
  </si>
  <si>
    <t>RDO-01</t>
  </si>
  <si>
    <t>Rio do Ouro</t>
  </si>
  <si>
    <t>RDO-02</t>
  </si>
  <si>
    <t>RDO-03</t>
  </si>
  <si>
    <t>RDO-04</t>
  </si>
  <si>
    <t>RDO-05</t>
  </si>
  <si>
    <t>RDO-06</t>
  </si>
  <si>
    <t>RDO-07</t>
  </si>
  <si>
    <t>RDO-08</t>
  </si>
  <si>
    <t>RDO-09</t>
  </si>
  <si>
    <t>RDO-10</t>
  </si>
  <si>
    <t>RDO-11</t>
  </si>
  <si>
    <t>RDO-12</t>
  </si>
  <si>
    <t>RDO-13</t>
  </si>
  <si>
    <t>09G3</t>
  </si>
  <si>
    <t>RDO-14</t>
  </si>
  <si>
    <t>RDO-15</t>
  </si>
  <si>
    <t>RDO-16</t>
  </si>
  <si>
    <t>RDO-17</t>
  </si>
  <si>
    <t>RDO-18</t>
  </si>
  <si>
    <t>SU-CAJ</t>
  </si>
  <si>
    <t>RDO-19</t>
  </si>
  <si>
    <t>RDO-20</t>
  </si>
  <si>
    <t>SAL-01</t>
  </si>
  <si>
    <t>Salto</t>
  </si>
  <si>
    <t>SAL-02</t>
  </si>
  <si>
    <t>SAL-03</t>
  </si>
  <si>
    <t>SAL-04</t>
  </si>
  <si>
    <t>SAL-05</t>
  </si>
  <si>
    <t>SAL-06</t>
  </si>
  <si>
    <t>SAL-07</t>
  </si>
  <si>
    <t>SAL-08</t>
  </si>
  <si>
    <t>SAL-09</t>
  </si>
  <si>
    <t>SAL-10</t>
  </si>
  <si>
    <t>SAL-11</t>
  </si>
  <si>
    <t>SAL-12</t>
  </si>
  <si>
    <t>SAL-13</t>
  </si>
  <si>
    <t>SU-BUR</t>
  </si>
  <si>
    <t>SAL-14</t>
  </si>
  <si>
    <t>SAL-15</t>
  </si>
  <si>
    <t>SAL-16</t>
  </si>
  <si>
    <t>SAL-17</t>
  </si>
  <si>
    <t>SAL-18</t>
  </si>
  <si>
    <t>SAL-19</t>
  </si>
  <si>
    <t>SAL-20</t>
  </si>
  <si>
    <t>STO-01</t>
  </si>
  <si>
    <t>Santo Antônio</t>
  </si>
  <si>
    <t>STO-02</t>
  </si>
  <si>
    <t>SE PPG</t>
  </si>
  <si>
    <t>09B5</t>
  </si>
  <si>
    <t>02S3</t>
  </si>
  <si>
    <t>02S2</t>
  </si>
  <si>
    <t>SE AUD</t>
  </si>
  <si>
    <t>09G2-2</t>
  </si>
  <si>
    <t>09G2-1</t>
  </si>
  <si>
    <t>UEE-CAJ</t>
  </si>
  <si>
    <t>CAJ UEE</t>
  </si>
  <si>
    <t>UEE-BJS</t>
  </si>
  <si>
    <t>BJS UEE</t>
  </si>
  <si>
    <t>SU-STO</t>
  </si>
  <si>
    <t>SU-RDO</t>
  </si>
  <si>
    <t>SU-PUL</t>
  </si>
  <si>
    <t>AGD</t>
  </si>
  <si>
    <t>MN-AGD</t>
  </si>
  <si>
    <t>2026 AGD - SUBESTAÇÃO UNITÁRIA</t>
  </si>
  <si>
    <t>QLW-AGD</t>
  </si>
  <si>
    <t>SW-AGD</t>
  </si>
  <si>
    <t>2026 AGD - PREVENTIVA ANUAL WTG</t>
  </si>
  <si>
    <t>MPP4 - MANUTENÇÃO PREVENTIVA PERIÓDICA</t>
  </si>
  <si>
    <t>WesleyS - Neemuel Wesley Pereira de Sousa</t>
  </si>
  <si>
    <t>MPP4 - MANUTENÇÃO PREVENTIVA PERIÓDICA - A1</t>
  </si>
  <si>
    <t>(vazio)</t>
  </si>
  <si>
    <t>Em Execução</t>
  </si>
  <si>
    <t>AEROGERADOR</t>
  </si>
  <si>
    <t>SUBESTAÇÃO UNITÁRIA</t>
  </si>
  <si>
    <t>MT TRANSFORMADOR DE FORÇA</t>
  </si>
  <si>
    <t>CONVERSOR</t>
  </si>
  <si>
    <t>SISTEMA PITCH</t>
  </si>
  <si>
    <t>TORRE WTG</t>
  </si>
  <si>
    <t>GERADOR</t>
  </si>
  <si>
    <t>NACELLE</t>
  </si>
  <si>
    <t>Qtd</t>
  </si>
  <si>
    <t>APR - PT</t>
  </si>
  <si>
    <t>jardels - JARDEL DOS PASSOS SOUZA</t>
  </si>
  <si>
    <t>alesandros - ALESANDRO LEMES DOS SANTOS</t>
  </si>
  <si>
    <t>2026 AGD - AUDITORIA DE MANUTENÇÃO PREVENTIVA</t>
  </si>
  <si>
    <t>INSPEÇÃO DE MANUTENÇÃO PREVENTIVA ANUAL</t>
  </si>
  <si>
    <t>06/04/2026 23:59</t>
  </si>
  <si>
    <t>MANUTENÇÃO CORRETIVA PLANEJADA</t>
  </si>
  <si>
    <t>SUBESTAÇÃO</t>
  </si>
  <si>
    <t>SE AQB 1</t>
  </si>
  <si>
    <t>PATIO SE</t>
  </si>
  <si>
    <t>SEG.00007</t>
  </si>
  <si>
    <t>S18</t>
  </si>
  <si>
    <t>MN-AGD  001913/2026</t>
  </si>
  <si>
    <t>GRUPO MOTOR GERADOR</t>
  </si>
  <si>
    <t>GMG</t>
  </si>
  <si>
    <t>&gt; PATIO SE</t>
  </si>
  <si>
    <t>GMG.00004</t>
  </si>
  <si>
    <t>29/04/2026 17:00</t>
  </si>
  <si>
    <t>APR referente a manutenção preventiva GMG semanal - S18</t>
  </si>
  <si>
    <t>56164</t>
  </si>
  <si>
    <t>Joaos - JOAO MARIA DE SOUZA</t>
  </si>
  <si>
    <t>APR referente a manutenção preventiva da SU</t>
  </si>
  <si>
    <t>robertor - ROBERTO DE RAMOS</t>
  </si>
  <si>
    <t>MN-AGD  001725/2026</t>
  </si>
  <si>
    <t>ESU 03</t>
  </si>
  <si>
    <t>ESU-AQB 03-C1</t>
  </si>
  <si>
    <t>ESU.00059</t>
  </si>
  <si>
    <t>28/04/2026 17:00</t>
  </si>
  <si>
    <t>56202</t>
  </si>
  <si>
    <t>MN-AGD  001915/2026</t>
  </si>
  <si>
    <t>ESU 04</t>
  </si>
  <si>
    <t>ESU-AQB 04-C1</t>
  </si>
  <si>
    <t>ESU.00060</t>
  </si>
  <si>
    <t>APR referente a manutenção preventiva da SU AQB 04</t>
  </si>
  <si>
    <t>ATIVIDADE DE ROÇADA</t>
  </si>
  <si>
    <t>08/05/2026 17:00</t>
  </si>
  <si>
    <t>brunof - BRUNO DIAS DA FONSECA</t>
  </si>
  <si>
    <t>13/04/2026 08:00</t>
  </si>
  <si>
    <t>SI   2026/355</t>
  </si>
  <si>
    <t>Autorizada</t>
  </si>
  <si>
    <t>MN-AGD  001641/2026</t>
  </si>
  <si>
    <t>16/04/2026 08:00</t>
  </si>
  <si>
    <t>MN-AGD  001646/2026</t>
  </si>
  <si>
    <t>20/04/2026 08:00</t>
  </si>
  <si>
    <t>MN-AGD  001640/2026</t>
  </si>
  <si>
    <t>SUU-AQB 03-C1</t>
  </si>
  <si>
    <t>TFM.00136</t>
  </si>
  <si>
    <t>MN-AGD  001639/2026</t>
  </si>
  <si>
    <t>MN-AGD  001638/2026</t>
  </si>
  <si>
    <t>CUD.00136</t>
  </si>
  <si>
    <t>MN-AGD  001637/2026</t>
  </si>
  <si>
    <t>SUU-AQB 04-C1</t>
  </si>
  <si>
    <t>MN-AGD  001643/2026</t>
  </si>
  <si>
    <t>CUD.00137</t>
  </si>
  <si>
    <t>MN-AGD  001642/2026</t>
  </si>
  <si>
    <t>2026 AGD - GMG</t>
  </si>
  <si>
    <t>MPP1 - INSPEÇÃO VISUAL - D7</t>
  </si>
  <si>
    <t>WTG 01</t>
  </si>
  <si>
    <t>AQB 01-C1</t>
  </si>
  <si>
    <t>CON.00057</t>
  </si>
  <si>
    <t>williams - WILLIAM MOURA DE SOUZA</t>
  </si>
  <si>
    <t>patrickl - PATRICK SELK LIMA</t>
  </si>
  <si>
    <t>APR referente a manutenção Preventiva Anual WTG (CONVERSOR)</t>
  </si>
  <si>
    <t>WTG 02</t>
  </si>
  <si>
    <t>AQB 02-C1</t>
  </si>
  <si>
    <t>CON.00058</t>
  </si>
  <si>
    <t>SW-AGD  001544/2026</t>
  </si>
  <si>
    <t>WTG 03</t>
  </si>
  <si>
    <t>AQB 03-C1</t>
  </si>
  <si>
    <t>CON.00059</t>
  </si>
  <si>
    <t>andersons - ANDERSON SCHONS</t>
  </si>
  <si>
    <t>SW-AGD  001683/2026</t>
  </si>
  <si>
    <t>WTG 04</t>
  </si>
  <si>
    <t>AQB 04-C1</t>
  </si>
  <si>
    <t>CON.00060</t>
  </si>
  <si>
    <t xml:space="preserve">APR referente a manutenção preventiva anual conversor </t>
  </si>
  <si>
    <t>13/04/2026 23:59</t>
  </si>
  <si>
    <t>SI   2026/352</t>
  </si>
  <si>
    <t>15/04/2026 23:59</t>
  </si>
  <si>
    <t>SW-AGD  001294/2026</t>
  </si>
  <si>
    <t>16/04/2026 23:59</t>
  </si>
  <si>
    <t>SW-AGD  001309/2026</t>
  </si>
  <si>
    <t>20/04/2026 23:59</t>
  </si>
  <si>
    <t>AQB 04-C1 (CONVERSOR)</t>
  </si>
  <si>
    <t>PROGRAMAÇÃO SEMANA DE MANUTENÇÃO ENERGIMP - SC - SEMANA 19
Complexo de Água Doce</t>
  </si>
  <si>
    <t>MN-AGD  001989/2026</t>
  </si>
  <si>
    <t>REDE MÉDIA TENSÃO</t>
  </si>
  <si>
    <t>MN-AGD  001988/2026</t>
  </si>
  <si>
    <t>EDIFICAÇÃO</t>
  </si>
  <si>
    <t>MN-AGD  001987/2026</t>
  </si>
  <si>
    <t>MN-AGD  001985/2026</t>
  </si>
  <si>
    <t>MN-AGD  001982/2026</t>
  </si>
  <si>
    <t>MN-AGD  001981/2026</t>
  </si>
  <si>
    <t>MN-AGD  001980/2026</t>
  </si>
  <si>
    <t>MN-AGD  001929/2026</t>
  </si>
  <si>
    <t>PARQUE EÓLICO</t>
  </si>
  <si>
    <t>MN-AGD  001924/2026</t>
  </si>
  <si>
    <t>11/05/2026 23:59</t>
  </si>
  <si>
    <t>MN-AGD  001728/2026</t>
  </si>
  <si>
    <t>CASA DE COMANDO</t>
  </si>
  <si>
    <t>2026 AGD - ESTRUTURA SE</t>
  </si>
  <si>
    <t>MN-AGD  001651/2026</t>
  </si>
  <si>
    <t>23/04/2026 08:00</t>
  </si>
  <si>
    <t>MN-AGD  001650/2026</t>
  </si>
  <si>
    <t>MN-AGD  001649/2026</t>
  </si>
  <si>
    <t>MN-AGD  000959/2026</t>
  </si>
  <si>
    <t>21/04/2026 23:59</t>
  </si>
  <si>
    <t>MN-AGD  000958/2026</t>
  </si>
  <si>
    <t>MN-AGD  000960/2026</t>
  </si>
  <si>
    <t>MN-AGD  000956/2026</t>
  </si>
  <si>
    <t>MN-AGD  000957/2026</t>
  </si>
  <si>
    <t>MN-AGD  000794/2026</t>
  </si>
  <si>
    <t>ESTRUTURA RMT</t>
  </si>
  <si>
    <t>2026 AGD - RMT</t>
  </si>
  <si>
    <t>MN-AGD  000793/2026</t>
  </si>
  <si>
    <t>MN-AGD  000792/2026</t>
  </si>
  <si>
    <t>MN-AGD  000575/2026</t>
  </si>
  <si>
    <t>MN-AGD  000576/2026</t>
  </si>
  <si>
    <t>MN-AGD  000577/2026</t>
  </si>
  <si>
    <t>MN-AGD  000578/2026</t>
  </si>
  <si>
    <t>MN-AGD  000579/2026</t>
  </si>
  <si>
    <t>MN-AGD  000580/2026</t>
  </si>
  <si>
    <t>MN-AGD  000581/2026</t>
  </si>
  <si>
    <t>MN-AGD  000582/2026</t>
  </si>
  <si>
    <t>MN-AGD  000583/2026</t>
  </si>
  <si>
    <t>MN-AGD  000584/2026</t>
  </si>
  <si>
    <t>MN-AGD  000585/2026</t>
  </si>
  <si>
    <t>MN-AGD  000586/2026</t>
  </si>
  <si>
    <t>MN-AGD  000587/2026</t>
  </si>
  <si>
    <t>MN-AGD  000588/2026</t>
  </si>
  <si>
    <t>MN-AGD  000565/2026</t>
  </si>
  <si>
    <t>MN-AGD  000566/2026</t>
  </si>
  <si>
    <t>MN-AGD  000559/2026</t>
  </si>
  <si>
    <t>MN-AGD  000560/2026</t>
  </si>
  <si>
    <t>MN-AGD  000561/2026</t>
  </si>
  <si>
    <t>MN-AGD  000567/2026</t>
  </si>
  <si>
    <t>MN-AGD  000568/2026</t>
  </si>
  <si>
    <t>MN-AGD  000570/2026</t>
  </si>
  <si>
    <t>MN-AGD  000571/2026</t>
  </si>
  <si>
    <t>MN-AGD  000562/2026</t>
  </si>
  <si>
    <t>MN-AGD  000563/2026</t>
  </si>
  <si>
    <t>MN-AGD  000572/2026</t>
  </si>
  <si>
    <t>MN-AGD  000573/2026</t>
  </si>
  <si>
    <t>MN-AGD  000574/2026</t>
  </si>
  <si>
    <t>MN-AGD  000569/2026</t>
  </si>
  <si>
    <t>MN-AGD  000564/2026</t>
  </si>
  <si>
    <t>MN-AGD  000558/2026</t>
  </si>
  <si>
    <t>MN-AGD  000557/2026</t>
  </si>
  <si>
    <t>MN-AGD  000548/2026</t>
  </si>
  <si>
    <t>QLW-AGD  000558/2026</t>
  </si>
  <si>
    <t>QLW-AGD  000559/2026</t>
  </si>
  <si>
    <t>QLW-AGD  000556/2026</t>
  </si>
  <si>
    <t>QLW-AGD  000557/2026</t>
  </si>
  <si>
    <t>QLW-AGD  000555/2026</t>
  </si>
  <si>
    <t>SW-AGD  001781/2026</t>
  </si>
  <si>
    <t>EQUIPAMENTO WTG</t>
  </si>
  <si>
    <t>SW-AGD  001779/2026</t>
  </si>
  <si>
    <t>SW-AGD  001778/2026</t>
  </si>
  <si>
    <t>SW-AGD  001777/2026</t>
  </si>
  <si>
    <t>SW-AGD  001776/2026</t>
  </si>
  <si>
    <t>SW-AGD  001773/2026</t>
  </si>
  <si>
    <t>SW-AGD  001772/2026</t>
  </si>
  <si>
    <t>SW-AGD  001687/2026</t>
  </si>
  <si>
    <t>SW-AGD  001685/2026</t>
  </si>
  <si>
    <t>SW-AGD  001686/2026</t>
  </si>
  <si>
    <t>SW-AGD  001684/2026</t>
  </si>
  <si>
    <t>SW-AGD  001554/2026</t>
  </si>
  <si>
    <t>SW-AGD  001530/2026</t>
  </si>
  <si>
    <t>SW-AGD  001319/2026</t>
  </si>
  <si>
    <t>23/04/2026 23:59</t>
  </si>
  <si>
    <t>SW-AGD  001314/2026</t>
  </si>
  <si>
    <t>SW-AGD  001308/2026</t>
  </si>
  <si>
    <t>SW-AGD  001307/2026</t>
  </si>
  <si>
    <t>SW-AGD  001306/2026</t>
  </si>
  <si>
    <t>SW-AGD  001305/2026</t>
  </si>
  <si>
    <t>SW-AGD  001295/2026</t>
  </si>
  <si>
    <t>SW-AGD  001298/2026</t>
  </si>
  <si>
    <t>SW-AGD  001297/2026</t>
  </si>
  <si>
    <t>SW-AGD  001296/2026</t>
  </si>
  <si>
    <t>SW-AGD  001281/2026</t>
  </si>
  <si>
    <t>SW-AGD  001280/2026</t>
  </si>
  <si>
    <t>SW-AGD  001279/2026</t>
  </si>
  <si>
    <t>SW-AGD  001278/2026</t>
  </si>
  <si>
    <t>SW-AGD  001250/2026</t>
  </si>
  <si>
    <t>SW-AGD  001251/2026</t>
  </si>
  <si>
    <t>SW-AGD  001248/2026</t>
  </si>
  <si>
    <t>SW-AGD  001249/2026</t>
  </si>
  <si>
    <t>S19</t>
  </si>
  <si>
    <t>RMT-AMP</t>
  </si>
  <si>
    <t>TRECHO 01</t>
  </si>
  <si>
    <t>AMP I-II 1-201/AQB II 15-35</t>
  </si>
  <si>
    <t>RMT.00016</t>
  </si>
  <si>
    <t>04/05/2026 08:00</t>
  </si>
  <si>
    <t>APR referente a inspeção expedita da Estrutura RMT</t>
  </si>
  <si>
    <t>57782</t>
  </si>
  <si>
    <t>SLA</t>
  </si>
  <si>
    <t>SALA DE REUNIÃO</t>
  </si>
  <si>
    <t>EDC.00062</t>
  </si>
  <si>
    <t>04/05/2026 10:00</t>
  </si>
  <si>
    <t xml:space="preserve">OPA 2026-03-0745 Vazamento de água do ar condicionado. Local: sala de reunião
</t>
  </si>
  <si>
    <t>RMT.00004</t>
  </si>
  <si>
    <t>04/05/2026 17:00</t>
  </si>
  <si>
    <t>REALIZAR INSPEÇÃO VISUAL NOS POSTES DA REDE DE AMPARO</t>
  </si>
  <si>
    <t xml:space="preserve">Realizar manutenção corretiva nos ar condicionados do prédio Administrativo e SE AQB._x000D_
</t>
  </si>
  <si>
    <t>ESU 06</t>
  </si>
  <si>
    <t>ESU-AQB 06-C1</t>
  </si>
  <si>
    <t>ESU.00062</t>
  </si>
  <si>
    <t>06/05/2026 13:00</t>
  </si>
  <si>
    <t>06/05/2026 17:00</t>
  </si>
  <si>
    <t>APR referente a preventiva e inspeção SU</t>
  </si>
  <si>
    <t>57766</t>
  </si>
  <si>
    <t>ESU 05</t>
  </si>
  <si>
    <t>ESU-AQB 05-C1</t>
  </si>
  <si>
    <t>ESU.00061</t>
  </si>
  <si>
    <t>06/05/2026 08:00</t>
  </si>
  <si>
    <t>06/05/2026 12:00</t>
  </si>
  <si>
    <t>57765</t>
  </si>
  <si>
    <t>07/05/2026 08:00</t>
  </si>
  <si>
    <t>07/05/2026 12:00</t>
  </si>
  <si>
    <t>APR referente a inspeção semanal GMG e inspeção Mensal Casa de comando - S19</t>
  </si>
  <si>
    <t>57783</t>
  </si>
  <si>
    <t>SAL PEOL</t>
  </si>
  <si>
    <t>SPA.00013</t>
  </si>
  <si>
    <t>01/05/2026 17:00</t>
  </si>
  <si>
    <t xml:space="preserve">Realizar atividade de roçada_x000D_
</t>
  </si>
  <si>
    <t>05/05/2026 13:00</t>
  </si>
  <si>
    <t>05/05/2026 17:00</t>
  </si>
  <si>
    <t>57764</t>
  </si>
  <si>
    <t>CASA DE COMANDO SE</t>
  </si>
  <si>
    <t>MPP1 - INSPEÇÃO VISUAL - M1</t>
  </si>
  <si>
    <t>CAS.00006</t>
  </si>
  <si>
    <t>05/05/2026 08:00</t>
  </si>
  <si>
    <t>05/05/2026 12:00</t>
  </si>
  <si>
    <t>57762</t>
  </si>
  <si>
    <t>SUU-AQB 06-C1</t>
  </si>
  <si>
    <t>CUD.00139</t>
  </si>
  <si>
    <t>SUU-AQB 05-C1</t>
  </si>
  <si>
    <t>TFM.00138</t>
  </si>
  <si>
    <t>04/05/2026 12:00</t>
  </si>
  <si>
    <t>57676</t>
  </si>
  <si>
    <t>CUD.00138</t>
  </si>
  <si>
    <t>AMP-P389</t>
  </si>
  <si>
    <t>AMP - C02 - P389</t>
  </si>
  <si>
    <t>MPP1 - INSPEÇÃO EXPEDITA - A1</t>
  </si>
  <si>
    <t>EMT.01735</t>
  </si>
  <si>
    <t>57725</t>
  </si>
  <si>
    <t>AMP-P387</t>
  </si>
  <si>
    <t>AMP - C02 - P387</t>
  </si>
  <si>
    <t>EMT.01733</t>
  </si>
  <si>
    <t>AMP-P382</t>
  </si>
  <si>
    <t>AMP - C02 - P382</t>
  </si>
  <si>
    <t>EMT.01728</t>
  </si>
  <si>
    <t>AMP-P352</t>
  </si>
  <si>
    <t>AMP - C01 - P352</t>
  </si>
  <si>
    <t>EMT.01484</t>
  </si>
  <si>
    <t>AMP-P292</t>
  </si>
  <si>
    <t>AMP - C01 - P292</t>
  </si>
  <si>
    <t>EMT.01494</t>
  </si>
  <si>
    <t>AMP-P307</t>
  </si>
  <si>
    <t>AMP - C01 - P307</t>
  </si>
  <si>
    <t>EMT.01509</t>
  </si>
  <si>
    <t>AMP-P358</t>
  </si>
  <si>
    <t>AMP - C01 - P358</t>
  </si>
  <si>
    <t>EMT.01704</t>
  </si>
  <si>
    <t>AMP-P359</t>
  </si>
  <si>
    <t>AMP - C01 - P359</t>
  </si>
  <si>
    <t>EMT.01705</t>
  </si>
  <si>
    <t>AMP-P362</t>
  </si>
  <si>
    <t>AMP - C02 - P362</t>
  </si>
  <si>
    <t>EMT.01708</t>
  </si>
  <si>
    <t>AMP-P363</t>
  </si>
  <si>
    <t>AMP - C02 - P363</t>
  </si>
  <si>
    <t>EMT.01709</t>
  </si>
  <si>
    <t>AMP-P365</t>
  </si>
  <si>
    <t>AMP - C02 - P365</t>
  </si>
  <si>
    <t>EMT.01711</t>
  </si>
  <si>
    <t>AMP-P371</t>
  </si>
  <si>
    <t>AMP - C02 - P371</t>
  </si>
  <si>
    <t>EMT.01717</t>
  </si>
  <si>
    <t>AMP-P381</t>
  </si>
  <si>
    <t>AMP - C02 - P381</t>
  </si>
  <si>
    <t>EMT.01727</t>
  </si>
  <si>
    <t>AMP-P394</t>
  </si>
  <si>
    <t>AMP - C01 - P394</t>
  </si>
  <si>
    <t>EMT.01740</t>
  </si>
  <si>
    <t>AMP-P396</t>
  </si>
  <si>
    <t>AMP - C01 - P396</t>
  </si>
  <si>
    <t>EMT.01742</t>
  </si>
  <si>
    <t>AMP-P397</t>
  </si>
  <si>
    <t>AMP - C01 - P397</t>
  </si>
  <si>
    <t>EMT.01743</t>
  </si>
  <si>
    <t>AMP-P398</t>
  </si>
  <si>
    <t>AMP - C01 - P398</t>
  </si>
  <si>
    <t>EMT.01744</t>
  </si>
  <si>
    <t>AMP-P159</t>
  </si>
  <si>
    <t>AMP - C01 - P159</t>
  </si>
  <si>
    <t>EMT.01302</t>
  </si>
  <si>
    <t>AMP-P160</t>
  </si>
  <si>
    <t>AMP - C02 - P160</t>
  </si>
  <si>
    <t>EMT.01303</t>
  </si>
  <si>
    <t>AMP-P048</t>
  </si>
  <si>
    <t>AMP - C02 - P048</t>
  </si>
  <si>
    <t>EMT.01191</t>
  </si>
  <si>
    <t>AMP-P095</t>
  </si>
  <si>
    <t>AMP - C01 - P095</t>
  </si>
  <si>
    <t>EMT.01238</t>
  </si>
  <si>
    <t>AMP-P096</t>
  </si>
  <si>
    <t>AMP - C02 - P096</t>
  </si>
  <si>
    <t>EMT.01239</t>
  </si>
  <si>
    <t>AMP-P211</t>
  </si>
  <si>
    <t>AMP - C01 - C02 - P211</t>
  </si>
  <si>
    <t>EMT.01374</t>
  </si>
  <si>
    <t>AMP-P235</t>
  </si>
  <si>
    <t>AMP - C01 - C02 - P235</t>
  </si>
  <si>
    <t>EMT.01398</t>
  </si>
  <si>
    <t>AMP-P255</t>
  </si>
  <si>
    <t>AMP - C01 - P255</t>
  </si>
  <si>
    <t>EMT.01418</t>
  </si>
  <si>
    <t>AMP-P268</t>
  </si>
  <si>
    <t>AMP - C01 - P268</t>
  </si>
  <si>
    <t>EMT.01431</t>
  </si>
  <si>
    <t>AMP-P118</t>
  </si>
  <si>
    <t>AMP - C01 - C02 - P118</t>
  </si>
  <si>
    <t>EMT.01261</t>
  </si>
  <si>
    <t>AMP-P144</t>
  </si>
  <si>
    <t>AMP - C01 - P144</t>
  </si>
  <si>
    <t>EMT.01287</t>
  </si>
  <si>
    <t>AMP-P323</t>
  </si>
  <si>
    <t>AMP - C01 - P323</t>
  </si>
  <si>
    <t>EMT.01453</t>
  </si>
  <si>
    <t>AMP-P331</t>
  </si>
  <si>
    <t>AMP - C01 - P331</t>
  </si>
  <si>
    <t>EMT.01461</t>
  </si>
  <si>
    <t>AMP-P338</t>
  </si>
  <si>
    <t>AMP - C01 - P338</t>
  </si>
  <si>
    <t>EMT.01468</t>
  </si>
  <si>
    <t>AMP-P254</t>
  </si>
  <si>
    <t>AMP - C01 - C02 - P254</t>
  </si>
  <si>
    <t>EMT.01417</t>
  </si>
  <si>
    <t>AMP-P145</t>
  </si>
  <si>
    <t>AMP - C02 - P145</t>
  </si>
  <si>
    <t>EMT.01288</t>
  </si>
  <si>
    <t>AMP-P047</t>
  </si>
  <si>
    <t>AMP - C01 - P047</t>
  </si>
  <si>
    <t>EMT.01190</t>
  </si>
  <si>
    <t>AMP-P024</t>
  </si>
  <si>
    <t>AMP - C01 - C02 - P024</t>
  </si>
  <si>
    <t>EMT.01167</t>
  </si>
  <si>
    <t>AMP-P001</t>
  </si>
  <si>
    <t>AMP - C01 - C02 - P001</t>
  </si>
  <si>
    <t>EMT.01144</t>
  </si>
  <si>
    <t>TOR.00057</t>
  </si>
  <si>
    <t>57674</t>
  </si>
  <si>
    <t>SPT.00057</t>
  </si>
  <si>
    <t>NAC.00057</t>
  </si>
  <si>
    <t>GER.00057</t>
  </si>
  <si>
    <t>AVALIAÇÃO DE EQUIPE</t>
  </si>
  <si>
    <t>WTG.00134</t>
  </si>
  <si>
    <t>SE-AGD</t>
  </si>
  <si>
    <t>OFICINA WIND</t>
  </si>
  <si>
    <t>SERVIÇOS DE BANCADA</t>
  </si>
  <si>
    <t>EQP.00001</t>
  </si>
  <si>
    <t>31/05/2026 17:00</t>
  </si>
  <si>
    <t>thiagof - THIAGO FANTINEL</t>
  </si>
  <si>
    <t>Atividades de manutenção em bancada de equipamentos WTG (MAIO)</t>
  </si>
  <si>
    <t>WTG.00137</t>
  </si>
  <si>
    <t>07/05/2026 17:00</t>
  </si>
  <si>
    <t>APR referente a preventiva anual WTG (UP TOWER)</t>
  </si>
  <si>
    <t>57672</t>
  </si>
  <si>
    <t>WTG.00136</t>
  </si>
  <si>
    <t>57671</t>
  </si>
  <si>
    <t>WTG.00135</t>
  </si>
  <si>
    <t>57670</t>
  </si>
  <si>
    <t>57669</t>
  </si>
  <si>
    <t>WTG 06</t>
  </si>
  <si>
    <t>AQB 06-C1</t>
  </si>
  <si>
    <t>CON.00062</t>
  </si>
  <si>
    <t>APR referente a preventiva do WTG anual (CONVERSOR)</t>
  </si>
  <si>
    <t>57787</t>
  </si>
  <si>
    <t>WTG 05</t>
  </si>
  <si>
    <t>AQB 05-C1</t>
  </si>
  <si>
    <t>CON.00061</t>
  </si>
  <si>
    <t>57786</t>
  </si>
  <si>
    <t>SAL 04-C1</t>
  </si>
  <si>
    <t>INSPEÇÃO DE ACOMPANHAMENTO</t>
  </si>
  <si>
    <t>TOR.00139</t>
  </si>
  <si>
    <t>Atualização do software para usar sensor de fumaça</t>
  </si>
  <si>
    <t>SI   2026/406</t>
  </si>
  <si>
    <t>57785</t>
  </si>
  <si>
    <t>08/05/2026 08:00</t>
  </si>
  <si>
    <t>08/05/2026 09:00</t>
  </si>
  <si>
    <t>APR referente a inspeção da infiltração no WTG</t>
  </si>
  <si>
    <t>57673</t>
  </si>
  <si>
    <t>57784</t>
  </si>
  <si>
    <t>Realizar inspeção da infiltração no tramo 5 da torre</t>
  </si>
  <si>
    <t>SPT.00060</t>
  </si>
  <si>
    <t>TOR.00060</t>
  </si>
  <si>
    <t>GER.00060</t>
  </si>
  <si>
    <t>NAC.00060</t>
  </si>
  <si>
    <t>GER.00059</t>
  </si>
  <si>
    <t>TOR.00059</t>
  </si>
  <si>
    <t>SPT.00059</t>
  </si>
  <si>
    <t>NAC.00059</t>
  </si>
  <si>
    <t>TOR.00058</t>
  </si>
  <si>
    <t>SPT.00058</t>
  </si>
  <si>
    <t>NAC.00058</t>
  </si>
  <si>
    <t>GER.00058</t>
  </si>
  <si>
    <t>AQB 06-C1 (CONVERSOR)</t>
  </si>
  <si>
    <t>AQB 05-C1 (CONVERSOR)</t>
  </si>
  <si>
    <t>AQB 03-C1 (CONVERSOR)</t>
  </si>
  <si>
    <t>Atividades Semana 19</t>
  </si>
  <si>
    <t>04/05 08:00</t>
  </si>
  <si>
    <t>05/05 08:00</t>
  </si>
  <si>
    <t>05/05 13:00</t>
  </si>
  <si>
    <t>06/0508:00</t>
  </si>
  <si>
    <t>06/05 13:00</t>
  </si>
  <si>
    <t>07/05 08:00</t>
  </si>
  <si>
    <t>08/05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</si>
</sst>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\ &quot;-&quot;\ hh:mm"/>
    <numFmt numFmtId="165" formatCode="0.0%"/>
    <numFmt numFmtId="166" formatCode="dd/mm"/>
  </numFmts>
  <fonts count="16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14CB6"/>
        <bgColor indexed="64"/>
      </patternFill>
    </fill>
    <fill>
      <patternFill patternType="solid">
        <fgColor rgb="FF314CB6"/>
        <bgColor theme="4"/>
      </patternFill>
    </fill>
    <fill>
      <patternFill patternType="solid">
        <fgColor rgb="FF314CB6"/>
        <bgColor rgb="FF314CB6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</fills>
  <borders count="34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314CB6"/>
      </left>
      <right/>
      <top style="medium">
        <color rgb="FF314CB6"/>
      </top>
      <bottom/>
      <diagonal/>
    </border>
    <border>
      <left/>
      <right/>
      <top style="medium">
        <color rgb="FF314CB6"/>
      </top>
      <bottom/>
      <diagonal/>
    </border>
    <border>
      <left/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/>
      <top/>
      <bottom/>
      <diagonal/>
    </border>
    <border>
      <left/>
      <right style="medium">
        <color rgb="FF314CB6"/>
      </right>
      <top/>
      <bottom/>
      <diagonal/>
    </border>
    <border>
      <left style="medium">
        <color rgb="FF314CB6"/>
      </left>
      <right/>
      <top/>
      <bottom style="medium">
        <color rgb="FF314CB6"/>
      </bottom>
      <diagonal/>
    </border>
    <border>
      <left/>
      <right/>
      <top/>
      <bottom style="medium">
        <color rgb="FF314CB6"/>
      </bottom>
      <diagonal/>
    </border>
    <border>
      <left/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/>
      <top style="medium">
        <color rgb="FF314CB6"/>
      </top>
      <bottom style="medium">
        <color rgb="FF314CB6"/>
      </bottom>
      <diagonal/>
    </border>
    <border>
      <left/>
      <right/>
      <top style="medium">
        <color rgb="FF314CB6"/>
      </top>
      <bottom style="medium">
        <color rgb="FF314CB6"/>
      </bottom>
      <diagonal/>
    </border>
    <border>
      <left/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medium">
        <color rgb="FF314CB6"/>
      </top>
      <bottom/>
      <diagonal/>
    </border>
    <border>
      <left style="medium">
        <color rgb="FF314CB6"/>
      </left>
      <right style="medium">
        <color rgb="FF314CB6"/>
      </right>
      <top/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/>
      <bottom/>
      <diagonal/>
    </border>
    <border>
      <left style="medium">
        <color rgb="FF314CB6"/>
      </left>
      <right style="medium">
        <color theme="7" tint="-0.499984740745262"/>
      </right>
      <top style="medium">
        <color rgb="FF314CB6"/>
      </top>
      <bottom style="medium">
        <color rgb="FF314CB6"/>
      </bottom>
      <diagonal/>
    </border>
    <border>
      <left style="medium">
        <color rgb="FF314CB6"/>
      </left>
      <right style="medium">
        <color rgb="FF314CB6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314CB6"/>
      </left>
      <right/>
      <top style="thin">
        <color rgb="FF314CB6"/>
      </top>
      <bottom style="thin">
        <color rgb="FF314CB6"/>
      </bottom>
      <diagonal/>
    </border>
    <border>
      <left/>
      <right/>
      <top style="thin">
        <color rgb="FF314CB6"/>
      </top>
      <bottom style="thin">
        <color rgb="FF314CB6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6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164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3" xfId="0" applyBorder="1"/>
    <xf numFmtId="0" fontId="5" fillId="2" borderId="3" xfId="0" applyFont="1" applyFill="1" applyBorder="1" applyAlignment="1">
      <alignment horizontal="left" indent="1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2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5" fillId="2" borderId="5" xfId="0" applyFont="1" applyFill="1" applyBorder="1" applyAlignment="1">
      <alignment horizontal="left" indent="1"/>
    </xf>
    <xf numFmtId="0" fontId="0" fillId="0" borderId="5" xfId="0" applyBorder="1" applyAlignment="1">
      <alignment horizontal="left" indent="2"/>
    </xf>
    <xf numFmtId="14" fontId="3" fillId="0" borderId="3" xfId="0" applyNumberFormat="1" applyFont="1" applyBorder="1" applyAlignment="1">
      <alignment horizontal="left" vertical="center" indent="1"/>
    </xf>
    <xf numFmtId="0" fontId="0" fillId="0" borderId="6" xfId="0" applyBorder="1" applyAlignment="1">
      <alignment horizontal="left"/>
    </xf>
    <xf numFmtId="0" fontId="0" fillId="0" borderId="6" xfId="0" pivotButton="1" applyBorder="1"/>
    <xf numFmtId="0" fontId="0" fillId="0" borderId="6" xfId="0" pivotButton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1"/>
    </xf>
    <xf numFmtId="14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left" vertical="center" indent="1"/>
    </xf>
    <xf numFmtId="14" fontId="3" fillId="0" borderId="10" xfId="0" applyNumberFormat="1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indent="1"/>
    </xf>
    <xf numFmtId="0" fontId="0" fillId="4" borderId="6" xfId="0" applyFill="1" applyBorder="1" applyAlignment="1">
      <alignment horizontal="center"/>
    </xf>
    <xf numFmtId="0" fontId="8" fillId="4" borderId="6" xfId="0" applyFont="1" applyFill="1" applyBorder="1" applyAlignment="1">
      <alignment horizontal="left" indent="1"/>
    </xf>
    <xf numFmtId="14" fontId="3" fillId="0" borderId="7" xfId="0" applyNumberFormat="1" applyFont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left" vertical="center" indent="1"/>
    </xf>
    <xf numFmtId="165" fontId="4" fillId="4" borderId="3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left" vertical="center" indent="1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3" borderId="0" xfId="0" applyFill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10" fillId="0" borderId="0" xfId="1"/>
    <xf numFmtId="0" fontId="11" fillId="0" borderId="3" xfId="2" applyBorder="1"/>
    <xf numFmtId="0" fontId="11" fillId="0" borderId="3" xfId="2" applyBorder="1" applyAlignment="1">
      <alignment horizontal="center"/>
    </xf>
    <xf numFmtId="0" fontId="11" fillId="0" borderId="3" xfId="2" applyBorder="1" applyAlignment="1">
      <alignment horizontal="center" vertical="center"/>
    </xf>
    <xf numFmtId="0" fontId="11" fillId="0" borderId="0" xfId="2" applyAlignment="1">
      <alignment horizontal="center" vertical="center"/>
    </xf>
    <xf numFmtId="0" fontId="10" fillId="0" borderId="0" xfId="1" applyAlignment="1">
      <alignment horizontal="center" vertical="center"/>
    </xf>
    <xf numFmtId="0" fontId="12" fillId="6" borderId="3" xfId="2" applyFont="1" applyFill="1" applyBorder="1" applyAlignment="1">
      <alignment horizontal="center" vertical="center"/>
    </xf>
    <xf numFmtId="0" fontId="10" fillId="0" borderId="3" xfId="1" applyBorder="1"/>
    <xf numFmtId="0" fontId="10" fillId="0" borderId="3" xfId="1" applyBorder="1" applyAlignment="1">
      <alignment horizont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10" fillId="0" borderId="1" xfId="1" applyBorder="1" applyAlignment="1">
      <alignment horizontal="center"/>
    </xf>
    <xf numFmtId="0" fontId="10" fillId="0" borderId="2" xfId="1" applyBorder="1" applyAlignment="1">
      <alignment horizontal="center" vertical="center"/>
    </xf>
    <xf numFmtId="0" fontId="10" fillId="0" borderId="12" xfId="1" applyBorder="1" applyAlignment="1">
      <alignment horizontal="center"/>
    </xf>
    <xf numFmtId="0" fontId="11" fillId="0" borderId="1" xfId="2" applyBorder="1" applyAlignment="1">
      <alignment horizontal="center" vertical="center"/>
    </xf>
    <xf numFmtId="0" fontId="11" fillId="0" borderId="2" xfId="2" applyBorder="1" applyAlignment="1">
      <alignment horizontal="center" vertical="center"/>
    </xf>
    <xf numFmtId="0" fontId="11" fillId="0" borderId="12" xfId="2" applyBorder="1" applyAlignment="1">
      <alignment horizontal="center" vertical="center"/>
    </xf>
    <xf numFmtId="0" fontId="11" fillId="0" borderId="0" xfId="2"/>
    <xf numFmtId="0" fontId="10" fillId="0" borderId="3" xfId="1" applyBorder="1" applyAlignment="1">
      <alignment horizontal="left" indent="1"/>
    </xf>
    <xf numFmtId="0" fontId="11" fillId="0" borderId="3" xfId="2" applyBorder="1" applyAlignment="1">
      <alignment horizontal="left" indent="1"/>
    </xf>
    <xf numFmtId="22" fontId="10" fillId="0" borderId="3" xfId="1" applyNumberFormat="1" applyBorder="1" applyAlignment="1">
      <alignment horizontal="left" indent="1"/>
    </xf>
    <xf numFmtId="22" fontId="10" fillId="0" borderId="3" xfId="1" applyNumberFormat="1" applyBorder="1"/>
    <xf numFmtId="0" fontId="10" fillId="0" borderId="10" xfId="1" applyBorder="1" applyAlignment="1">
      <alignment horizontal="left" indent="1"/>
    </xf>
    <xf numFmtId="14" fontId="10" fillId="0" borderId="3" xfId="1" applyNumberFormat="1" applyBorder="1" applyAlignment="1">
      <alignment horizontal="left" vertical="center" indent="1"/>
    </xf>
    <xf numFmtId="0" fontId="10" fillId="0" borderId="9" xfId="1" applyBorder="1" applyAlignment="1">
      <alignment horizontal="left" indent="1"/>
    </xf>
    <xf numFmtId="0" fontId="11" fillId="0" borderId="10" xfId="2" applyBorder="1" applyAlignment="1">
      <alignment horizontal="left" indent="1"/>
    </xf>
    <xf numFmtId="0" fontId="11" fillId="0" borderId="9" xfId="2" applyBorder="1" applyAlignment="1">
      <alignment horizontal="left" indent="1"/>
    </xf>
    <xf numFmtId="0" fontId="11" fillId="0" borderId="10" xfId="2" applyBorder="1" applyAlignment="1">
      <alignment horizontal="center" vertical="center"/>
    </xf>
    <xf numFmtId="0" fontId="11" fillId="0" borderId="9" xfId="2" applyBorder="1" applyAlignment="1">
      <alignment horizontal="center"/>
    </xf>
    <xf numFmtId="0" fontId="11" fillId="0" borderId="8" xfId="2" applyBorder="1" applyAlignment="1">
      <alignment horizontal="left" indent="1"/>
    </xf>
    <xf numFmtId="0" fontId="11" fillId="0" borderId="11" xfId="2" applyBorder="1" applyAlignment="1">
      <alignment horizontal="left" indent="1"/>
    </xf>
    <xf numFmtId="0" fontId="11" fillId="0" borderId="7" xfId="2" applyBorder="1" applyAlignment="1">
      <alignment horizontal="left" indent="1"/>
    </xf>
    <xf numFmtId="0" fontId="10" fillId="0" borderId="8" xfId="1" applyBorder="1" applyAlignment="1">
      <alignment horizontal="left" indent="1"/>
    </xf>
    <xf numFmtId="0" fontId="13" fillId="0" borderId="3" xfId="2" applyFont="1" applyBorder="1" applyAlignment="1">
      <alignment horizontal="left" vertical="center"/>
    </xf>
    <xf numFmtId="0" fontId="4" fillId="7" borderId="10" xfId="2" applyFont="1" applyFill="1" applyBorder="1" applyAlignment="1">
      <alignment horizontal="center" vertical="center"/>
    </xf>
    <xf numFmtId="0" fontId="4" fillId="7" borderId="3" xfId="2" applyFont="1" applyFill="1" applyBorder="1" applyAlignment="1">
      <alignment horizontal="center" vertical="center"/>
    </xf>
    <xf numFmtId="0" fontId="4" fillId="7" borderId="9" xfId="2" applyFont="1" applyFill="1" applyBorder="1" applyAlignment="1">
      <alignment horizontal="center"/>
    </xf>
    <xf numFmtId="0" fontId="11" fillId="0" borderId="2" xfId="2" applyBorder="1"/>
    <xf numFmtId="0" fontId="11" fillId="0" borderId="2" xfId="2" applyBorder="1" applyAlignment="1">
      <alignment horizontal="center"/>
    </xf>
    <xf numFmtId="0" fontId="11" fillId="0" borderId="8" xfId="2" applyBorder="1" applyAlignment="1">
      <alignment horizontal="center" vertical="center"/>
    </xf>
    <xf numFmtId="0" fontId="11" fillId="0" borderId="11" xfId="2" applyBorder="1" applyAlignment="1">
      <alignment horizontal="center" vertical="center"/>
    </xf>
    <xf numFmtId="0" fontId="11" fillId="0" borderId="7" xfId="2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left" indent="1"/>
    </xf>
    <xf numFmtId="0" fontId="5" fillId="2" borderId="24" xfId="0" applyFont="1" applyFill="1" applyBorder="1" applyAlignment="1">
      <alignment horizontal="left" indent="1"/>
    </xf>
    <xf numFmtId="0" fontId="0" fillId="4" borderId="24" xfId="0" applyFill="1" applyBorder="1"/>
    <xf numFmtId="0" fontId="6" fillId="4" borderId="24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165" fontId="4" fillId="4" borderId="10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 indent="2"/>
    </xf>
    <xf numFmtId="0" fontId="6" fillId="8" borderId="2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5" fillId="0" borderId="31" xfId="0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0" fontId="9" fillId="4" borderId="33" xfId="0" applyFont="1" applyFill="1" applyBorder="1" applyAlignment="1">
      <alignment vertical="center" wrapText="1"/>
    </xf>
    <xf numFmtId="22" fontId="0" fillId="0" borderId="0" xfId="0" applyNumberFormat="1"/>
    <xf numFmtId="166" fontId="0" fillId="4" borderId="6" xfId="0" applyNumberFormat="1" applyFill="1" applyBorder="1" applyAlignment="1">
      <alignment horizontal="center" vertical="center"/>
    </xf>
    <xf numFmtId="22" fontId="3" fillId="0" borderId="3" xfId="0" applyNumberFormat="1" applyFont="1" applyBorder="1" applyAlignment="1">
      <alignment horizontal="left" vertical="center" indent="1"/>
    </xf>
    <xf numFmtId="14" fontId="3" fillId="0" borderId="9" xfId="0" applyNumberFormat="1" applyFont="1" applyBorder="1" applyAlignment="1">
      <alignment horizontal="left" vertical="center" indent="2"/>
    </xf>
    <xf numFmtId="14" fontId="3" fillId="0" borderId="10" xfId="0" applyNumberFormat="1" applyFont="1" applyBorder="1" applyAlignment="1">
      <alignment horizontal="left" vertical="center" indent="2"/>
    </xf>
    <xf numFmtId="0" fontId="3" fillId="0" borderId="3" xfId="0" applyFont="1" applyBorder="1" applyAlignment="1">
      <alignment horizontal="left" vertical="center" indent="2"/>
    </xf>
    <xf numFmtId="0" fontId="3" fillId="0" borderId="10" xfId="0" applyFont="1" applyBorder="1" applyAlignment="1">
      <alignment horizontal="left" vertical="center" indent="2"/>
    </xf>
    <xf numFmtId="0" fontId="0" fillId="4" borderId="2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left" indent="1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indent="1"/>
    </xf>
    <xf numFmtId="0" fontId="0" fillId="0" borderId="0" xfId="0" applyNumberFormat="1"/>
    <xf numFmtId="0" fontId="0" fillId="0" borderId="6" xfId="0" applyNumberFormat="1" applyBorder="1" applyAlignment="1">
      <alignment horizontal="center" vertical="center"/>
    </xf>
    <xf numFmtId="0" fontId="8" fillId="4" borderId="6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17" xfId="0" applyNumberFormat="1" applyFill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center" vertical="center"/>
    </xf>
    <xf numFmtId="0" fontId="5" fillId="0" borderId="20" xfId="0" applyNumberFormat="1" applyFon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0" fillId="0" borderId="16" xfId="0" applyNumberFormat="1" applyFill="1" applyBorder="1" applyAlignment="1">
      <alignment horizontal="center" vertical="center"/>
    </xf>
    <xf numFmtId="0" fontId="5" fillId="0" borderId="18" xfId="0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left" indent="1"/>
    </xf>
    <xf numFmtId="0" fontId="0" fillId="0" borderId="29" xfId="0" applyFill="1" applyBorder="1" applyAlignment="1">
      <alignment horizontal="left"/>
    </xf>
    <xf numFmtId="0" fontId="0" fillId="0" borderId="25" xfId="0" applyNumberFormat="1" applyFont="1" applyFill="1" applyBorder="1" applyAlignment="1">
      <alignment horizontal="center" vertical="center" indent="1"/>
    </xf>
    <xf numFmtId="0" fontId="0" fillId="0" borderId="27" xfId="0" applyNumberFormat="1" applyFont="1" applyFill="1" applyBorder="1" applyAlignment="1">
      <alignment horizontal="center" vertical="center" indent="1"/>
    </xf>
    <xf numFmtId="0" fontId="5" fillId="2" borderId="26" xfId="0" applyNumberFormat="1" applyFont="1" applyFill="1" applyBorder="1" applyAlignment="1">
      <alignment horizontal="center" vertical="center" indent="1"/>
    </xf>
  </cellXfs>
  <cellStyles count="3">
    <cellStyle name="Normal" xfId="0" builtinId="0"/>
    <cellStyle name="Normal 2" xfId="1" xr:uid="{74F565D4-0BA9-4950-8CE6-7ADE38DEFC4B}"/>
    <cellStyle name="Normal 3" xfId="2" xr:uid="{DD84427D-1B0F-4821-A6D9-18AB7D6E77AE}"/>
  </cellStyles>
  <dxfs count="247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top/>
        <vertical/>
        <horizontal/>
      </border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color theme="0"/>
      </font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ont>
        <color theme="7" tint="-0.499984740745262"/>
      </font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bottom/>
        <vertical/>
      </border>
    </dxf>
    <dxf>
      <border>
        <left/>
        <right/>
      </border>
    </dxf>
    <dxf>
      <border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alignment relativeIndent="-1"/>
    </dxf>
    <dxf>
      <alignment relativeIndent="1"/>
    </dxf>
    <dxf>
      <alignment relativeIndent="1"/>
    </dxf>
    <dxf>
      <alignment indent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indent="0"/>
    </dxf>
    <dxf>
      <alignment horizontal="center"/>
    </dxf>
    <dxf>
      <alignment relativeIndent="-1"/>
    </dxf>
    <dxf>
      <alignment relativeIndent="1"/>
    </dxf>
    <dxf>
      <alignment relativeIndent="1"/>
    </dxf>
    <dxf>
      <alignment horizontal="general" indent="0"/>
    </dxf>
    <dxf>
      <alignment horizontal="left"/>
    </dxf>
    <dxf>
      <alignment relativeIndent="1"/>
    </dxf>
    <dxf>
      <alignment relativeIndent="1"/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alignment horizontal="left" relativeIndent="1"/>
    </dxf>
    <dxf>
      <alignment relativeIndent="-1"/>
    </dxf>
    <dxf>
      <alignment relativeIndent="1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alignment horizontal="left" relativeIndent="1"/>
    </dxf>
    <dxf>
      <alignment relativeIndent="1"/>
    </dxf>
    <dxf>
      <alignment horizontal="left" relativeIndent="1"/>
    </dxf>
    <dxf>
      <alignment horizontal="right" indent="1"/>
    </dxf>
    <dxf>
      <alignment relativeIndent="1"/>
    </dxf>
    <dxf>
      <alignment horizontal="center"/>
    </dxf>
    <dxf>
      <alignment horizontal="left" relativeIndent="1"/>
    </dxf>
    <dxf>
      <border>
        <vertical style="thin">
          <color theme="0"/>
        </vertical>
      </border>
    </dxf>
    <dxf>
      <alignment vertical="center"/>
    </dxf>
    <dxf>
      <alignment horizontal="left" relativeIndent="1"/>
    </dxf>
    <dxf>
      <alignment horizontal="right" 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general" indent="0"/>
    </dxf>
    <dxf>
      <alignment horizontal="center"/>
    </dxf>
    <dxf>
      <alignment horizontal="center" indent="0"/>
    </dxf>
    <dxf>
      <alignment horizontal="center" indent="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numFmt numFmtId="166" formatCode="dd/mm"/>
    </dxf>
    <dxf>
      <font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  <alignment horizontal="center"/>
    </dxf>
    <dxf>
      <border outline="0">
        <top style="thin">
          <color theme="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theme="0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medium">
          <color rgb="FF314CB6"/>
        </left>
        <right style="medium">
          <color rgb="FF314CB6"/>
        </right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alignment relativeIndent="1"/>
    </dxf>
    <dxf>
      <alignment relativeIndent="1"/>
    </dxf>
    <dxf>
      <alignment horizontal="left"/>
    </dxf>
    <dxf>
      <alignment horizontal="general" indent="0"/>
    </dxf>
    <dxf>
      <alignment relativeIndent="1"/>
    </dxf>
    <dxf>
      <alignment relativeIndent="1"/>
    </dxf>
    <dxf>
      <alignment relativeIndent="-1"/>
    </dxf>
    <dxf>
      <alignment horizontal="center"/>
    </dxf>
    <dxf>
      <alignment horizontal="general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indent="2"/>
    </dxf>
    <dxf>
      <alignment relativeIndent="1"/>
    </dxf>
    <dxf>
      <alignment relativeIndent="1"/>
    </dxf>
    <dxf>
      <alignment relativeIndent="-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ont>
        <b/>
      </font>
      <alignment inden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alignment indent="2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indent="2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bottom/>
      </border>
    </dxf>
    <dxf>
      <border>
        <left/>
        <right/>
      </border>
    </dxf>
    <dxf>
      <border>
        <left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border>
        <left style="medium">
          <color rgb="FF314CB6"/>
        </left>
        <right style="medium">
          <color rgb="FF314CB6"/>
        </right>
        <top style="medium">
          <color rgb="FF314CB6"/>
        </top>
        <bottom style="medium">
          <color rgb="FF314CB6"/>
        </bottom>
      </border>
    </dxf>
    <dxf>
      <font>
        <color theme="0"/>
      </font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border>
        <left/>
        <top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font>
        <b/>
      </font>
      <fill>
        <patternFill patternType="solid">
          <fgColor indexed="64"/>
          <bgColor theme="3" tint="0.749992370372631"/>
        </patternFill>
      </fill>
      <alignment indent="1"/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color theme="7" tint="-0.499984740745262"/>
      </font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theme="7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dd/mm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314CB6"/>
        </patternFill>
      </fill>
    </dxf>
    <dxf>
      <fill>
        <patternFill>
          <bgColor rgb="FF314CB6"/>
        </patternFill>
      </fill>
    </dxf>
    <dxf>
      <fill>
        <patternFill>
          <bgColor rgb="FF314CB6"/>
        </patternFill>
      </fill>
    </dxf>
    <dxf>
      <fill>
        <patternFill patternType="solid">
          <bgColor rgb="FF314CB6"/>
        </patternFill>
      </fill>
    </dxf>
    <dxf>
      <fill>
        <patternFill patternType="solid">
          <bgColor rgb="FF314CB6"/>
        </patternFill>
      </fill>
    </dxf>
    <dxf>
      <alignment horizontal="center"/>
    </dxf>
    <dxf>
      <alignment horizontal="center"/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border>
        <right style="medium">
          <color theme="0"/>
        </right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 indent="0"/>
    </dxf>
    <dxf>
      <alignment horizontal="center" indent="0"/>
    </dxf>
    <dxf>
      <alignment horizontal="center"/>
    </dxf>
    <dxf>
      <alignment horizontal="general" indent="0"/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horizontal="right" indent="1"/>
    </dxf>
    <dxf>
      <alignment horizontal="left" relativeIndent="1"/>
    </dxf>
    <dxf>
      <alignment vertical="center"/>
    </dxf>
    <dxf>
      <border>
        <vertical style="thin">
          <color theme="0"/>
        </vertical>
      </border>
    </dxf>
    <dxf>
      <alignment horizontal="left" relativeIndent="1"/>
    </dxf>
    <dxf>
      <alignment horizontal="center"/>
    </dxf>
    <dxf>
      <alignment relativeIndent="1"/>
    </dxf>
    <dxf>
      <alignment horizontal="right" indent="1"/>
    </dxf>
    <dxf>
      <alignment horizontal="left" relativeIndent="1"/>
    </dxf>
    <dxf>
      <alignment relativeIndent="1"/>
    </dxf>
    <dxf>
      <alignment horizontal="left" relativeIndent="1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alignment horizontal="center"/>
    </dxf>
    <dxf>
      <alignment horizontal="center"/>
    </dxf>
    <dxf>
      <alignment relativeIndent="1"/>
    </dxf>
    <dxf>
      <alignment relativeIndent="-1"/>
    </dxf>
    <dxf>
      <alignment horizontal="left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2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dd/mm\ &quot;-&quot;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left" vertical="center" textRotation="0" wrapText="0" relativeIndent="1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alignment vertical="center" textRotation="0" wrapText="0" indent="0" justifyLastLine="0" shrinkToFit="0" readingOrder="0"/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font>
        <b/>
        <color theme="0"/>
      </font>
      <fill>
        <patternFill patternType="solid">
          <fgColor rgb="FF314CB6"/>
          <bgColor rgb="FF314CB6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rgb="FF314CB6"/>
          <bgColor rgb="FF314CB6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10" xr9:uid="{200DB9BC-1369-4A21-B6C0-0338A86695AC}">
      <tableStyleElement type="wholeTable" dxfId="2469"/>
      <tableStyleElement type="headerRow" dxfId="2468"/>
    </tableStyle>
    <tableStyle name="TableStyleMedium16 2" pivot="0" count="7" xr9:uid="{A83BEA9B-E1F6-45DD-8144-B94EB866F22E}">
      <tableStyleElement type="wholeTable" dxfId="2467"/>
      <tableStyleElement type="headerRow" dxfId="2466"/>
      <tableStyleElement type="totalRow" dxfId="2465"/>
      <tableStyleElement type="firstColumn" dxfId="2464"/>
      <tableStyleElement type="lastColumn" dxfId="2463"/>
      <tableStyleElement type="firstRowStripe" dxfId="2462"/>
      <tableStyleElement type="firstColumnStripe" dxfId="2461"/>
    </tableStyle>
  </tableStyles>
  <colors>
    <mruColors>
      <color rgb="FF314CB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314CB6"/>
              <bgColor rgb="FF314CB6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microsoft.com/office/2007/relationships/slicerCache" Target="slicerCaches/slicerCache10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23" Type="http://schemas.openxmlformats.org/officeDocument/2006/relationships/customXml" Target="../customXml/item2.xml"/><Relationship Id="rId10" Type="http://schemas.microsoft.com/office/2007/relationships/slicerCache" Target="slicerCaches/slicerCache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19050</xdr:rowOff>
        </xdr:from>
        <xdr:to>
          <xdr:col>7</xdr:col>
          <xdr:colOff>600075</xdr:colOff>
          <xdr:row>54</xdr:row>
          <xdr:rowOff>144760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45E97B97-3A0D-409B-7842-FAC9F0462C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G$25" spid="_x0000_s44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467350"/>
              <a:ext cx="9020175" cy="57264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4708610</xdr:colOff>
      <xdr:row>0</xdr:row>
      <xdr:rowOff>0</xdr:rowOff>
    </xdr:from>
    <xdr:to>
      <xdr:col>17</xdr:col>
      <xdr:colOff>535727</xdr:colOff>
      <xdr:row>0</xdr:row>
      <xdr:rowOff>981619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tatus OS">
              <a:extLst>
                <a:ext uri="{FF2B5EF4-FFF2-40B4-BE49-F238E27FC236}">
                  <a16:creationId xmlns:a16="http://schemas.microsoft.com/office/drawing/2014/main" id="{A51B98FD-8BC6-D4D2-7A76-0EE450D5D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01974" y="0"/>
              <a:ext cx="2529253" cy="981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0</xdr:col>
      <xdr:colOff>21499</xdr:colOff>
      <xdr:row>0</xdr:row>
      <xdr:rowOff>0</xdr:rowOff>
    </xdr:from>
    <xdr:to>
      <xdr:col>2</xdr:col>
      <xdr:colOff>128748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">
              <a:extLst>
                <a:ext uri="{FF2B5EF4-FFF2-40B4-BE49-F238E27FC236}">
                  <a16:creationId xmlns:a16="http://schemas.microsoft.com/office/drawing/2014/main" id="{3C6BA82E-57FE-77FF-DCCA-95DAC4ECC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89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  <xdr:twoCellAnchor editAs="absolute">
    <xdr:from>
      <xdr:col>2</xdr:col>
      <xdr:colOff>164126</xdr:colOff>
      <xdr:row>0</xdr:row>
      <xdr:rowOff>0</xdr:rowOff>
    </xdr:from>
    <xdr:to>
      <xdr:col>3</xdr:col>
      <xdr:colOff>101905</xdr:colOff>
      <xdr:row>0</xdr:row>
      <xdr:rowOff>968190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od_equipe">
              <a:extLst>
                <a:ext uri="{FF2B5EF4-FFF2-40B4-BE49-F238E27FC236}">
                  <a16:creationId xmlns:a16="http://schemas.microsoft.com/office/drawing/2014/main" id="{4392AE23-CCA1-760D-2F95-8854B193F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_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1868" y="0"/>
              <a:ext cx="18288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4</xdr:row>
      <xdr:rowOff>19050</xdr:rowOff>
    </xdr:from>
    <xdr:to>
      <xdr:col>11</xdr:col>
      <xdr:colOff>267300</xdr:colOff>
      <xdr:row>12</xdr:row>
      <xdr:rowOff>115050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8AC2C38-FE8D-911A-3C1D-61DE846E8EB2}"/>
            </a:ext>
          </a:extLst>
        </xdr:cNvPr>
        <xdr:cNvGrpSpPr/>
      </xdr:nvGrpSpPr>
      <xdr:grpSpPr>
        <a:xfrm>
          <a:off x="6076950" y="714375"/>
          <a:ext cx="0" cy="0"/>
          <a:chOff x="5229224" y="0"/>
          <a:chExt cx="2619976" cy="16200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F13433BE-9A42-54B7-576F-2188729BBA73}"/>
              </a:ext>
            </a:extLst>
          </xdr:cNvPr>
          <xdr:cNvGrpSpPr/>
        </xdr:nvGrpSpPr>
        <xdr:grpSpPr>
          <a:xfrm>
            <a:off x="5229224" y="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2" name="Complexo 1">
                  <a:extLst>
                    <a:ext uri="{FF2B5EF4-FFF2-40B4-BE49-F238E27FC236}">
                      <a16:creationId xmlns:a16="http://schemas.microsoft.com/office/drawing/2014/main" id="{A73A0D23-4156-9E19-81DF-20788B7B0E4F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6076950" y="609600"/>
                  <a:ext cx="0" cy="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Equipe">
                <a:extLst>
                  <a:ext uri="{FF2B5EF4-FFF2-40B4-BE49-F238E27FC236}">
                    <a16:creationId xmlns:a16="http://schemas.microsoft.com/office/drawing/2014/main" id="{6451EE89-BF77-A00D-AE84-1338D451232B}"/>
                  </a:ext>
                </a:extLst>
              </xdr:cNvPr>
              <xdr:cNvGraphicFramePr/>
            </xdr:nvGraphicFramePr>
            <xdr:xfrm>
              <a:off x="6553200" y="0"/>
              <a:ext cx="1296000" cy="1620000"/>
            </xdr:xfrm>
            <a:graphic>
              <a:graphicData uri="http://schemas.microsoft.com/office/drawing/2010/slicer">
                <sle:slicer xmlns:sle="http://schemas.microsoft.com/office/drawing/2010/slicer" name="Equi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076950" y="609600"/>
                <a:ext cx="0" cy="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18</xdr:col>
      <xdr:colOff>85724</xdr:colOff>
      <xdr:row>4</xdr:row>
      <xdr:rowOff>0</xdr:rowOff>
    </xdr:from>
    <xdr:to>
      <xdr:col>22</xdr:col>
      <xdr:colOff>571500</xdr:colOff>
      <xdr:row>18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66EC7E4-3556-AE56-7C0D-7DB9B9DFDF2E}"/>
            </a:ext>
          </a:extLst>
        </xdr:cNvPr>
        <xdr:cNvGrpSpPr/>
      </xdr:nvGrpSpPr>
      <xdr:grpSpPr>
        <a:xfrm>
          <a:off x="11239500" y="714375"/>
          <a:ext cx="0" cy="0"/>
          <a:chOff x="11487149" y="590550"/>
          <a:chExt cx="3067051" cy="26670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0F342D8F-33B8-1B3C-E4A5-5A44252E463B}"/>
              </a:ext>
            </a:extLst>
          </xdr:cNvPr>
          <xdr:cNvGrpSpPr/>
        </xdr:nvGrpSpPr>
        <xdr:grpSpPr>
          <a:xfrm>
            <a:off x="11487149" y="590550"/>
            <a:ext cx="1296000" cy="1620000"/>
            <a:chOff x="6781800" y="0"/>
            <a:chExt cx="1828800" cy="266700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14" name="Complexo 2">
                  <a:extLst>
                    <a:ext uri="{FF2B5EF4-FFF2-40B4-BE49-F238E27FC236}">
                      <a16:creationId xmlns:a16="http://schemas.microsoft.com/office/drawing/2014/main" id="{7A7BCAAA-228A-FB57-4EF4-3AE905F7F84D}"/>
                    </a:ext>
                  </a:extLst>
                </xdr:cNvPr>
                <xdr:cNvGraphicFramePr/>
              </xdr:nvGraphicFramePr>
              <xdr:xfrm>
                <a:off x="6781800" y="0"/>
                <a:ext cx="1828800" cy="2667000"/>
              </xdr:xfrm>
              <a:graphic>
                <a:graphicData uri="http://schemas.microsoft.com/office/drawing/2010/slicer">
                  <sle:slicer xmlns:sle="http://schemas.microsoft.com/office/drawing/2010/slicer" name="Complexo 2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3630274" y="809625"/>
                  <a:ext cx="1235627" cy="156792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Cód. Justificativa">
                <a:extLst>
                  <a:ext uri="{FF2B5EF4-FFF2-40B4-BE49-F238E27FC236}">
                    <a16:creationId xmlns:a16="http://schemas.microsoft.com/office/drawing/2014/main" id="{D59CB504-CC7D-C0E8-ED46-C0106376E409}"/>
                  </a:ext>
                </a:extLst>
              </xdr:cNvPr>
              <xdr:cNvGraphicFramePr/>
            </xdr:nvGraphicFramePr>
            <xdr:xfrm>
              <a:off x="12801600" y="590550"/>
              <a:ext cx="1752600" cy="2667000"/>
            </xdr:xfrm>
            <a:graphic>
              <a:graphicData uri="http://schemas.microsoft.com/office/drawing/2010/slicer">
                <sle:slicer xmlns:sle="http://schemas.microsoft.com/office/drawing/2010/slicer" name="Cód. Justificativ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83493" y="809625"/>
                <a:ext cx="1670957" cy="2581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 editAs="oneCell">
    <xdr:from>
      <xdr:col>15</xdr:col>
      <xdr:colOff>209550</xdr:colOff>
      <xdr:row>43</xdr:row>
      <xdr:rowOff>104775</xdr:rowOff>
    </xdr:from>
    <xdr:to>
      <xdr:col>15</xdr:col>
      <xdr:colOff>314325</xdr:colOff>
      <xdr:row>44</xdr:row>
      <xdr:rowOff>114300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0F7F24AB-4718-88B4-41AE-54870E10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381375"/>
          <a:ext cx="104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123825</xdr:rowOff>
        </xdr:from>
        <xdr:to>
          <xdr:col>25</xdr:col>
          <xdr:colOff>0</xdr:colOff>
          <xdr:row>74</xdr:row>
          <xdr:rowOff>161925</xdr:rowOff>
        </xdr:to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43DEE1BB-F975-AA0C-F1FF-4D83BE1463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X$46" spid="_x0000_s242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66700" y="5495925"/>
              <a:ext cx="11182350" cy="422910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19049</xdr:colOff>
      <xdr:row>0</xdr:row>
      <xdr:rowOff>0</xdr:rowOff>
    </xdr:from>
    <xdr:to>
      <xdr:col>14</xdr:col>
      <xdr:colOff>542925</xdr:colOff>
      <xdr:row>0</xdr:row>
      <xdr:rowOff>720000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mplexo 3">
              <a:extLst>
                <a:ext uri="{FF2B5EF4-FFF2-40B4-BE49-F238E27FC236}">
                  <a16:creationId xmlns:a16="http://schemas.microsoft.com/office/drawing/2014/main" id="{B7F35E1B-03E5-4BC2-8717-32BE94418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4324" y="0"/>
              <a:ext cx="5248276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19048</xdr:colOff>
      <xdr:row>0</xdr:row>
      <xdr:rowOff>0</xdr:rowOff>
    </xdr:from>
    <xdr:to>
      <xdr:col>7</xdr:col>
      <xdr:colOff>1417498</xdr:colOff>
      <xdr:row>0</xdr:row>
      <xdr:rowOff>720000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rque">
              <a:extLst>
                <a:ext uri="{FF2B5EF4-FFF2-40B4-BE49-F238E27FC236}">
                  <a16:creationId xmlns:a16="http://schemas.microsoft.com/office/drawing/2014/main" id="{131A98FD-3F89-44B3-9E87-D5183E713E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3" y="0"/>
              <a:ext cx="7704000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32</xdr:col>
      <xdr:colOff>9525</xdr:colOff>
      <xdr:row>0</xdr:row>
      <xdr:rowOff>28575</xdr:rowOff>
    </xdr:from>
    <xdr:to>
      <xdr:col>35</xdr:col>
      <xdr:colOff>762000</xdr:colOff>
      <xdr:row>2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lexo 4">
              <a:extLst>
                <a:ext uri="{FF2B5EF4-FFF2-40B4-BE49-F238E27FC236}">
                  <a16:creationId xmlns:a16="http://schemas.microsoft.com/office/drawing/2014/main" id="{E7AEE383-2CDB-44C9-BBE6-7B6E046FA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lex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0" y="28575"/>
              <a:ext cx="581025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" TargetMode="External"/><Relationship Id="rId2" Type="http://schemas.microsoft.com/office/2019/04/relationships/externalLinkLongPath" Target="https://energimpsa.sharepoint.com/sites/Intranet/Documentos%202024/02.%20Manuten&#231;&#227;o/2.6.%20Engenharia/PCM/02.%20Programa&#231;&#227;o%20Semanal/2025/PROGRAMA&#199;&#195;O%20PPG_QXB/Programa&#231;&#245;es%20Aracati/Planejamento%20de%20SS%20-%20Aracati/WTG%20Quixaba/Rotina%20-%20SS%20-%20Planejamento%20-%20SW-QXB.xlsm?07D84F24" TargetMode="External"/><Relationship Id="rId1" Type="http://schemas.openxmlformats.org/officeDocument/2006/relationships/externalLinkPath" Target="file:///\\07D84F24\Rotina%20-%20SS%20-%20Planejamento%20-%20SW-QX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i_os_exec"/>
      <sheetName val="bi_os"/>
      <sheetName val="bi_ativo"/>
      <sheetName val="bi_inspeção"/>
      <sheetName val="bi_inspeção_carac"/>
      <sheetName val="Mesclar1"/>
      <sheetName val="Indicador de Solic. Serv."/>
      <sheetName val="Tabelas - Dashboard"/>
      <sheetName val="Tabelas - Dashboard (2)"/>
      <sheetName val="bi_funcionario"/>
      <sheetName val="Plano Extra 2026"/>
      <sheetName val="bi_ss"/>
      <sheetName val="Utilidades"/>
      <sheetName val="Planilha1"/>
      <sheetName val="Tabela Resumo"/>
      <sheetName val="Plan SW-QXB"/>
      <sheetName val="Relatório com Fotos"/>
      <sheetName val="Rotina - SS - Planejamento - S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yane Sampaio" refreshedDate="46146.486499074075" createdVersion="8" refreshedVersion="8" minRefreshableVersion="3" recordCount="105" xr:uid="{FECE5500-5153-46E5-B089-22ABD41F9CBE}">
  <cacheSource type="worksheet">
    <worksheetSource name="Tabela83"/>
  </cacheSource>
  <cacheFields count="23">
    <cacheField name="Complexo" numFmtId="0">
      <sharedItems containsBlank="1" count="5">
        <s v="AGD"/>
        <m u="1"/>
        <s v="QXB" u="1"/>
        <s v="PPG" u="1"/>
        <s v="MOR" u="1"/>
      </sharedItems>
    </cacheField>
    <cacheField name="Equipe" numFmtId="0">
      <sharedItems containsBlank="1" count="10">
        <s v="MN-AGD"/>
        <s v="SW-AGD"/>
        <s v="QLW-AGD"/>
        <m u="1"/>
        <s v="MN-QXB" u="1"/>
        <s v="QLW-CE" u="1"/>
        <s v="MN-PPG" u="1"/>
        <s v="SW-PPG" u="1"/>
        <s v="SW-QXB" u="1"/>
        <s v="ST-WTG" u="1"/>
      </sharedItems>
    </cacheField>
    <cacheField name="Ordem" numFmtId="0">
      <sharedItems/>
    </cacheField>
    <cacheField name="data_prevista" numFmtId="0">
      <sharedItems/>
    </cacheField>
    <cacheField name="Família" numFmtId="0">
      <sharedItems/>
    </cacheField>
    <cacheField name="Descrição Plano" numFmtId="0">
      <sharedItems containsBlank="1" count="41">
        <s v="APR - PT"/>
        <s v="MANUTENÇÃO CORRETIVA PLANEJADA"/>
        <s v="2026 AGD - GMG"/>
        <s v="2026 AGD - ESTRUTURA SE"/>
        <s v="2026 AGD - SUBESTAÇÃO UNITÁRIA"/>
        <s v="2026 AGD - RMT"/>
        <s v="2026 AGD - AUDITORIA DE MANUTENÇÃO PREVENTIVA"/>
        <s v="ATIVIDADE DE ROÇADA"/>
        <s v="INSPEÇÃO DE ACOMPANHAMENTO"/>
        <s v="Atualização do software para usar sensor de fumaça"/>
        <s v="SERVIÇOS DE BANCADA"/>
        <s v="2026 AGD - PREVENTIVA ANUAL WTG"/>
        <s v="INSPEÇÃO DE SEGURANÇA" u="1"/>
        <s v="2026 AGD - ATIVIDADE DE ROÇADO" u="1"/>
        <s v="2026 AGD - PÁTIO SE" u="1"/>
        <s v=" " u="1"/>
        <s v="SUBSTITUIÇÃO DO ANEMÔMETRO" u="1"/>
        <s v="MPP5 - ENSAIO M.R.I" u="1"/>
        <s v="2026 AGD - SDAI" u="1"/>
        <s v="APR - PT - TERCEIROS" u="1"/>
        <s v="2026 AGD - INSPEÇÃO EXTERNA WTG" u="1"/>
        <s v="2026 AGD - SPDA" u="1"/>
        <s v="ATIVIDADE DE COLETA DE ÓLEO" u="1"/>
        <s v="Troca do disjuntor 16q2 no painel conversor" u="1"/>
        <s v="2026 AGD - AUDITORIA DE QUALIDADE WTG" u="1"/>
        <s v="MANUTENÇÃO DE BASES" u="1"/>
        <s v="2026 AGD - SERVIÇO AUXILIAR" u="1"/>
        <s v="2026 AGD - SISTEMA DE ACESSO E MONITORAMENTO" u="1"/>
        <s v="2026 AGD - SALA DE CUBÍCULOS" u="1"/>
        <s v="2026 AGD - PAINÉIS DE PROTEÇÃO COMANDO E CONTROLE" u="1"/>
        <s v="2026 AGD - RACK TELECOM" u="1"/>
        <m u="1"/>
        <s v="APR" u="1"/>
        <s v="2026 AGD - AUDITORIA DE FERRAMENTAS WTG" u="1"/>
        <s v="Troca de fusíveis 1Q7" u="1"/>
        <s v="2026 AGD - SISTEMA DE FILTRAGEM DE ÁGUA" u="1"/>
        <s v="Instalação dos saiotes de blades" u="1"/>
        <s v="Troca Disjuntor" u="1"/>
        <s v=" Troca de fusíveis 1Q7" u="1"/>
        <s v="Readequação das câmeras de WTG" u="1"/>
        <s v="2026 AGD - REPARO DE BLADE" u="1"/>
      </sharedItems>
    </cacheField>
    <cacheField name="Nº Sem" numFmtId="14">
      <sharedItems/>
    </cacheField>
    <cacheField name="Instal." numFmtId="0">
      <sharedItems/>
    </cacheField>
    <cacheField name="Localização" numFmtId="0">
      <sharedItems/>
    </cacheField>
    <cacheField name="Complemento" numFmtId="0">
      <sharedItems containsBlank="1" count="388">
        <s v="&gt; PATIO SE"/>
        <s v="AMP I-II 1-201/AQB II 15-35"/>
        <s v="SALA DE REUNIÃO"/>
        <s v=""/>
        <s v="PATIO SE"/>
        <s v="ESU-AQB 06-C1"/>
        <s v="ESU-AQB 05-C1"/>
        <s v="ESU-AQB 04-C1"/>
        <s v="ESU-AQB 03-C1"/>
        <s v="CASA DE COMANDO SE"/>
        <s v="AQB 04-C1"/>
        <s v="SUU-AQB 06-C1"/>
        <s v="SUU-AQB 04-C1"/>
        <s v="SUU-AQB 03-C1"/>
        <s v="SUU-AQB 05-C1"/>
        <s v="AMP - C02 - P389"/>
        <s v="AMP - C02 - P387"/>
        <s v="AMP - C02 - P382"/>
        <s v="AMP - C01 - P352"/>
        <s v="AMP - C01 - P292"/>
        <s v="AMP - C01 - P307"/>
        <s v="AMP - C01 - P358"/>
        <s v="AMP - C01 - P359"/>
        <s v="AMP - C02 - P362"/>
        <s v="AMP - C02 - P363"/>
        <s v="AMP - C02 - P365"/>
        <s v="AMP - C02 - P371"/>
        <s v="AMP - C02 - P381"/>
        <s v="AMP - C01 - P394"/>
        <s v="AMP - C01 - P396"/>
        <s v="AMP - C01 - P397"/>
        <s v="AMP - C01 - P398"/>
        <s v="AMP - C01 - P159"/>
        <s v="AMP - C02 - P160"/>
        <s v="AMP - C02 - P048"/>
        <s v="AMP - C01 - P095"/>
        <s v="AMP - C02 - P096"/>
        <s v="AMP - C01 - C02 - P211"/>
        <s v="AMP - C01 - C02 - P235"/>
        <s v="AMP - C01 - P255"/>
        <s v="AMP - C01 - P268"/>
        <s v="AMP - C01 - C02 - P118"/>
        <s v="AMP - C01 - P144"/>
        <s v="AMP - C01 - P323"/>
        <s v="AMP - C01 - P331"/>
        <s v="AMP - C01 - P338"/>
        <s v="AMP - C01 - C02 - P254"/>
        <s v="AMP - C02 - P145"/>
        <s v="AMP - C01 - P047"/>
        <s v="AMP - C01 - C02 - P024"/>
        <s v="AMP - C01 - C02 - P001"/>
        <s v="AQB 01-C1"/>
        <s v="AQB 03-C1"/>
        <s v="AQB 02-C1"/>
        <s v="AQB 06-C1"/>
        <s v="AQB 05-C1"/>
        <s v="SAL 04-C1"/>
        <s v="PEOL-SAL"/>
        <s v="AQB 06-C1 (CONVERSOR)"/>
        <s v="AQB 05-C1 (CONVERSOR)"/>
        <s v="AQB 04-C1 (CONVERSOR)"/>
        <s v="AQB 03-C1 (CONVERSOR)"/>
        <s v="ESU-AQB 01-C1" u="1"/>
        <s v="ESU-AQB 02-C1" u="1"/>
        <s v="AQB C1" u="1"/>
        <s v="AQB C2" u="1"/>
        <s v="TT1 &gt; PATIO SE" u="1"/>
        <s v="TT2 &gt; PATIO SE" u="1"/>
        <s v="TT3 &gt; PATIO SE" u="1"/>
        <s v="SUU-AQB 01-C1" u="1"/>
        <s v="SUU-AQB 02-C1" u="1"/>
        <s v="AQB 01-C1 (CONVERSOR)" u="1"/>
        <s v="AMP 12-C1" u="1"/>
        <s v="SAL 18-C2" u="1"/>
        <s v="SAL 19-C2" u="1"/>
        <s v="SAL 20-C2" u="1"/>
        <s v="AQB 02-C1 (CONVERSOR)" u="1"/>
        <s v="AQB 03-C1(CONVERSOR)" u="1"/>
        <s v="SE AQB 1" u="1"/>
        <s v="SAL - C01 - P302" u="1"/>
        <s v="CRA - C01 - P071" u="1"/>
        <s v="SAL - C02 - P061" u="1"/>
        <s v="AQB - C01- P106" u="1"/>
        <s v="AQB - C01 - P050" u="1"/>
        <s v="SAL 17-C2" u="1"/>
        <s v="ESU-SAL 20-C2" u="1"/>
        <s v="SUU-SAL 20-C2" u="1"/>
        <s v="PRÉDIO SE" u="1"/>
        <s v="CBO 07-C1" u="1"/>
        <s v="CAS 04-C1" u="1"/>
        <s v="AQB 09-C2" u="1"/>
        <s v="SAL 01-C1" u="1"/>
        <s v="AMP 05-C2" u="1"/>
        <s v="AMP 11-C1" u="1"/>
        <s v="AMP 02-C1" u="1"/>
        <s v="SAL 16-C2" u="1"/>
        <s v="SAL 20-C2 (CONVERSOR)" u="1"/>
        <s v="P99" u="1"/>
        <s v="P98" u="1"/>
        <s v="P97" u="1"/>
        <s v="P95" u="1"/>
        <s v="P94" u="1"/>
        <s v="P93" u="1"/>
        <s v="P92" u="1"/>
        <s v="P91" u="1"/>
        <s v="P90" u="1"/>
        <s v="P89" u="1"/>
        <s v="P88" u="1"/>
        <s v="P86" u="1"/>
        <s v="P85" u="1"/>
        <s v="P84" u="1"/>
        <s v="P83" u="1"/>
        <s v="P43" u="1"/>
        <s v="P42" u="1"/>
        <s v="P41" u="1"/>
        <s v="P40" u="1"/>
        <s v="P39" u="1"/>
        <s v="P36" u="1"/>
        <s v="P37" u="1"/>
        <s v="P35" u="1"/>
        <s v="P34" u="1"/>
        <s v="P32" u="1"/>
        <s v="P31" u="1"/>
        <s v="P30" u="1"/>
        <s v="P29" u="1"/>
        <s v="P28" u="1"/>
        <s v="P27" u="1"/>
        <s v="P26" u="1"/>
        <s v="P24" u="1"/>
        <s v="P23" u="1"/>
        <s v="P22" u="1"/>
        <s v="P21" u="1"/>
        <s v="P20" u="1"/>
        <s v="P18" u="1"/>
        <s v="P17" u="1"/>
        <s v="P13" u="1"/>
        <s v="P16" u="1"/>
        <s v="P12" u="1"/>
        <s v="P11" u="1"/>
        <s v="P103" u="1"/>
        <s v="P102" u="1"/>
        <s v="P101" u="1"/>
        <s v="P100" u="1"/>
        <s v="P10" u="1"/>
        <s v="P09" u="1"/>
        <s v="P08" u="1"/>
        <s v="P06" u="1"/>
        <s v="P07" u="1"/>
        <s v="P05" u="1"/>
        <s v="P04" u="1"/>
        <s v="P02" u="1"/>
        <s v="P03" u="1"/>
        <s v="P01" u="1"/>
        <s v="AQB 08-C1" u="1"/>
        <s v="APR - PT" u="1"/>
        <s v="MANUTENÇÃO CORRETIVA PLANEJADA" u="1"/>
        <s v="INSPEÇÃO DE ACOMPANHAMENTO" u="1"/>
        <s v="MPP5 - ENSAIO M.R.I" u="1"/>
        <s v="MPP4 - MANUTENÇÃO PREVENTIVA PERIÓDICA - A1" u="1"/>
        <s v="ATIVIDADE DE ROÇADA" u="1"/>
        <s v="MPP1 - INSPEÇÃO VISUAL - M6" u="1"/>
        <s v="MPP4 - MANUTENÇÃO PREVENTIVA PERIÓDICA" u="1"/>
        <s v="INSPEÇÃO DE MANUTENÇÃO PREVENTIVA ANUAL" u="1"/>
        <s v="MPP1 - INSPEÇÃO VISUAL - M3" u="1"/>
        <s v="AVALIAÇÃO DE EQUIPE" u="1"/>
        <s v="SAL 15-C2" u="1"/>
        <s v="SAL 14-C2" u="1"/>
        <s v="ESU-SAL 07-C1" u="1"/>
        <s v="&gt; SALA DE CUBÍCULOS" u="1"/>
        <s v="AQB I 48-104/CAS 48-54" u="1"/>
        <s v="CAS 1-47/AQB I 1-47" u="1"/>
        <s v="&gt; PÁTIO SE - 05TT2" u="1"/>
        <s v="&gt; PÁTIO SE - 05TT1" u="1"/>
        <s v="&gt; PÁTIO SE - 05TT3" u="1"/>
        <s v="SAL 13-C2" u="1"/>
        <s v="ESU-SAL 19-C2" u="1"/>
        <s v="ESU-SAL 17-C2" u="1"/>
        <s v="CRA C1" u="1"/>
        <s v="CAS" u="1"/>
        <s v="CRA C2" u="1"/>
        <s v="SAL 12-C2" u="1"/>
        <s v="SAL 11-C2" u="1"/>
        <s v="SAL 10-C1" u="1"/>
        <s v="SAL 09-C1" u="1"/>
        <s v="SAL 08-C1" u="1"/>
        <s v="SAL 07-C1" u="1"/>
        <s v="SAL 06-C1" u="1"/>
        <s v="SAL 05-C1" u="1"/>
        <s v="SAL 03-C1" u="1"/>
        <s v="SAL 02-C1" u="1"/>
        <s v="SAL 19-C2  (CONVERSOR)" u="1"/>
        <s v="SAL 17-C2  (CONVERSOR)" u="1"/>
        <s v="&gt; CUBÍCULO 08" u="1"/>
        <s v="&gt; CUBÍCULO 15" u="1"/>
        <s v="&gt; CUBÍCULO 09" u="1"/>
        <s v="&gt; CUBÍCULO 14 - 34,5 kV" u="1"/>
        <s v="&gt; CUBICULO 1 - 34,5kV" u="1"/>
        <s v="&gt; CUBÍCULO 04" u="1"/>
        <s v="&gt; CUBÍCULO 21 - 34,5 kV" u="1"/>
        <s v="&gt; CUBÍCULO 20 - 34,5 kV" u="1"/>
        <s v="&gt; CUBÍCULO 18" u="1"/>
        <s v="&gt; CUBÍCULO 16" u="1"/>
        <s v="&gt; CUBÍCULO 17" u="1"/>
        <s v="&gt; CUBÍCULO 11" u="1"/>
        <s v="&gt; CUBÍCULO 10" u="1"/>
        <s v="&gt; CUBICULO 5 - 34,5kV" u="1"/>
        <s v="&gt; CUBICULO 2 - 34,5kV" u="1"/>
        <s v="&gt; CUBÍCULO 12" u="1"/>
        <s v="SUU-SAL 19-C2" u="1"/>
        <s v="SUU-SAL 17-C2" u="1"/>
        <s v="WTG 17" u="1"/>
        <s v="ESU-SAL 16-C2" u="1"/>
        <s v="ESU-SAL 18-C2" u="1"/>
        <s v="SAL 01-C1 " u="1"/>
        <s v="SAL 16-C2 (CONVERSOR)" u="1"/>
        <s v="SAL 18-C2  (CONVERSOR)" u="1"/>
        <s v="SAL 20-C2  (CONVERSOR)" u="1"/>
        <s v="SUU-SAL 16-C2" u="1"/>
        <s v="SUU-SAL 18-C2" u="1"/>
        <s v="MPP1 - INSPEÇÃO VISUAL - D7" u="1"/>
        <s v="MPP1 - INSPEÇÃO EXTERNA DE AEROGERADOR - M6" u="1"/>
        <s v="ESU-SAL 13-C2" u="1"/>
        <s v="ESU-SAL 14-C2" u="1"/>
        <s v="ESU-SAL 15-C2" u="1"/>
        <s v="SUU-SAL 13-C2" u="1"/>
        <s v="SUU-SAL 14-C2" u="1"/>
        <s v="SUU-SAL 15-C2" u="1"/>
        <s v="CRA 01-C1" u="1"/>
        <s v="CRA 02-C1" u="1"/>
        <s v="CRA 03-C1" u="1"/>
        <s v="CRA 04-C1" u="1"/>
        <s v="CRA 05-C1" u="1"/>
        <s v="CRA 06-C1" u="1"/>
        <s v="CRA 07-C1" u="1"/>
        <s v="AQB 07-C1" u="1"/>
        <s v="CRA 08-C1" u="1"/>
        <s v="CRA 09-C1" u="1"/>
        <s v="CRA 10-C1" u="1"/>
        <s v="AQB 10-C2" u="1"/>
        <s v="CRA 11-C2" u="1"/>
        <s v="AQB 11-C2" u="1"/>
        <s v="CRA 12-C2" u="1"/>
        <s v="AQB 12-C2" u="1"/>
        <s v="CRA 13-C2" u="1"/>
        <s v="AQB 13-C2" u="1"/>
        <s v="CRA 14-C2" u="1"/>
        <s v="AQB 14-C2" u="1"/>
        <s v="CRA 15-C2" u="1"/>
        <s v="AQB 15-C2" u="1"/>
        <s v="CRA 16-C2" u="1"/>
        <s v="AQB 16-C2" u="1"/>
        <s v="CRA 17-C2" u="1"/>
        <s v="AQB 17-C2" u="1"/>
        <s v="CRA 18-C2" u="1"/>
        <s v="AQB 18-C2" u="1"/>
        <s v="CRA 19-C2" u="1"/>
        <s v="AQB 19-C2" u="1"/>
        <s v="CRA 20-C2" u="1"/>
        <s v="AQB 20-C2" u="1"/>
        <s v="&gt; SALA PAINÉIS" u="1"/>
        <s v="&gt; PÁTIO SE" u="1"/>
        <s v="&gt; SALA PAINEIS" u="1"/>
        <s v="&gt; SUBESTAÇÃO" u="1"/>
        <s v="ESU-SAL 05-C1" u="1"/>
        <s v="SUU-SAL 05-C1" u="1"/>
        <s v="ESU-SAL 06-C1" u="1"/>
        <s v="SUU-SAL 06-C1" u="1"/>
        <s v="AMP 14-C1" u="1"/>
        <s v="AMP 15-C1" u="1"/>
        <s v="AMP 13-C1" u="1"/>
        <s v="AMP 10-C2" u="1"/>
        <s v="AMP 09-C2" u="1"/>
        <s v="AMP 08-C2" u="1"/>
        <s v="AMP 07-C2" u="1"/>
        <s v="AMP 06-C2" u="1"/>
        <s v="AMP 03-C1" u="1"/>
        <s v="AMP 04-C2" u="1"/>
        <s v="AMP 01-C1" u="1"/>
        <s v="SUU-SAL 07-C1" u="1"/>
        <s v="ESU-SAL 08-C1" u="1"/>
        <s v="SUU-SAL 08-C1" u="1"/>
        <s v="CBO 02-C1" u="1"/>
        <s v="ESU-SAL 09-C1" u="1"/>
        <s v="SUU-SAL 09-C1" u="1"/>
        <s v="CAS 03-C1" u="1"/>
        <s v="CAS 01-C1" u="1"/>
        <s v="CAS 02-C1" u="1"/>
        <s v="CBO 04-C1" u="1"/>
        <s v="CBO 06-C1" u="1"/>
        <s v="CBO 05-C1" u="1"/>
        <s v="CBO 03-C1" u="1"/>
        <s v="CBO 01-C1" u="1"/>
        <s v="MANUTENÇÃO DE BASES" u="1"/>
        <s v="MPP1 - INSPEÇÃO VISUAL - M1" u="1"/>
        <s v="MPP2 - INSPEÇÃO TERMOGRÁFICA - M6" u="1"/>
        <s v="INSPEÇÃO DE QUALIDADE DE AEROGERADOR" u="1"/>
        <s v="SUU-CBO 07-C1" u="1"/>
        <s v="CBO 07-C1 (CONVERSOR)" u="1"/>
        <s v="ESU-CBO 07-C1" u="1"/>
        <s v="ESU-SAL 01-C1" u="1"/>
        <s v="SUU-SAL 01-C1" u="1"/>
        <s v="SAL 01-C1 (CONVERSOR)" u="1"/>
        <s v="SUU-SAL 02-C1" u="1"/>
        <s v="ESU-SAL 02-C1" u="1"/>
        <s v="SAL 02-C1 (CONVERSOR)" u="1"/>
        <s v="SUU-SAL 03-C1" u="1"/>
        <s v="ESU-SAL 03-C1" u="1"/>
        <s v="SAL 03-C1 (CONVERSOR)" u="1"/>
        <s v="ESU-SAL 04-C1" u="1"/>
        <s v="SUU-SAL 04-C1" u="1"/>
        <s v="SAL 04-C1 (CONVERSOR)" u="1"/>
        <s v="SAL 05-C1 (CONVERSOR)" u="1"/>
        <m u="1"/>
        <s v="SUU-CBO 06-C1" u="1"/>
        <s v="ESU-CBO 05-C1" u="1"/>
        <s v="SUU-AMP 11-C1" u="1"/>
        <s v="SUU-AMP 10-C2" u="1"/>
        <s v="SUU-AMP 09-C2" u="1"/>
        <s v="SUU-AMP 08-C2" u="1"/>
        <s v="SUU-AMP 07-C2" u="1"/>
        <s v="SUU-AMP 06-C2" u="1"/>
        <s v="SUU-AMP 05-C2" u="1"/>
        <s v="SUU-AMP 04-C2" u="1"/>
        <s v="SUU-AMP 15-C1" u="1"/>
        <s v="SUU-AMP 13-C1" u="1"/>
        <s v="SUU-AMP 14-C1" u="1"/>
        <s v="SUU-AMP 12-C1" u="1"/>
        <s v="SUU-AMP 03-C1" u="1"/>
        <s v="SUU-AMP 02-C1" u="1"/>
        <s v="SUU-AMP 01-C1" u="1"/>
        <s v="ESU-CBO 06-C1" u="1"/>
        <s v="SUU-CBO 05-C1" u="1"/>
        <s v="&gt; ALMOXARIFADO WTG" u="1"/>
        <s v="SUU-SAL 12-C2" u="1"/>
        <s v="SUU-SAL 11-C2" u="1"/>
        <s v="SUU-SAL 10-C1" u="1"/>
        <s v="SUU-CRA 20-C2" u="1"/>
        <s v="SUU-CRA 19-C2" u="1"/>
        <s v="SUU-CRA 18-C2" u="1"/>
        <s v="SUU-CRA 17-C2" u="1"/>
        <s v="SUU-CRA 16-C2" u="1"/>
        <s v="SUU-CRA 15-C2" u="1"/>
        <s v="SUU-CRA 14-C2" u="1"/>
        <s v="SUU-CRA 13-C2" u="1"/>
        <s v="SUU-CRA 12-C2" u="1"/>
        <s v="SUU-CRA 11-C2" u="1"/>
        <s v="SUU-CRA 10-C1" u="1"/>
        <s v="SUU-CRA 09-C1" u="1"/>
        <s v="SUU-CRA 08-C1" u="1"/>
        <s v="SUU-CRA 07-C1" u="1"/>
        <s v="SUU-CRA 06-C1" u="1"/>
        <s v="SUU-CRA 05-C1" u="1"/>
        <s v="SUU-CRA 04-C1" u="1"/>
        <s v="SUU-CRA 03-C1" u="1"/>
        <s v="SUU-CRA 02-C1" u="1"/>
        <s v="SUU-CRA 01-C1" u="1"/>
        <s v="SUU-CBO 03-C1" u="1"/>
        <s v="ESU-CBO 03-C1" u="1"/>
        <s v="&gt; PAINEL P5" u="1"/>
        <s v="&gt; CASA DE COMANDO" u="1"/>
        <s v="ESU-CBO 01-C1" u="1"/>
        <s v="ESU-CBO 02-C1" u="1"/>
        <s v="ESU-CBO 04-C1" u="1"/>
        <s v="SUU-AQB 07-C1" u="1"/>
        <s v="SUU-AQB 08-C1" u="1"/>
        <s v="SUU-AQB 09-C2" u="1"/>
        <s v="SUU-AQB 10-C2" u="1"/>
        <s v="SUU-AQB 11-C2" u="1"/>
        <s v="SUU-AQB 12-C2" u="1"/>
        <s v="SUU-AQB 13-C2" u="1"/>
        <s v="SUU-AQB 14-C2" u="1"/>
        <s v="SUU-AQB 15-C2" u="1"/>
        <s v="SUU-AQB 17-C2" u="1"/>
        <s v="SUU-AQB 18-C2" u="1"/>
        <s v="SUU-AQB 19-C2" u="1"/>
        <s v="SUU-AQB 20-C2" u="1"/>
        <s v="SUU-CAS 01-C1" u="1"/>
        <s v="SUU-CAS 02-C1" u="1"/>
        <s v="SUU-CAS 03-C1" u="1"/>
        <s v="SUU-CAS 04-C1" u="1"/>
        <s v="SUU-CBO 01-C1" u="1"/>
        <s v="SUU-CBO 02-C1" u="1"/>
        <s v="SUU-CBO 04-C1" u="1"/>
        <s v="AMP 08-C2 (CONVERSOR)" u="1"/>
        <s v="CBO 01-C1 (CONVERSOR)" u="1"/>
        <s v="CBO 02-C1 (CONVERSOR)" u="1"/>
        <s v="CBO 03-C1 (CONVERSOR)" u="1"/>
        <s v="CBO 04-C1 (CONVERSOR)" u="1"/>
      </sharedItems>
    </cacheField>
    <cacheField name="Esquema" numFmtId="0">
      <sharedItems containsBlank="1" count="380">
        <s v="APR - PT"/>
        <s v="MANUTENÇÃO CORRETIVA PLANEJADA"/>
        <s v="MPP1 - INSPEÇÃO VISUAL - D7"/>
        <s v="MPP1 - INSPEÇÃO VISUAL - M1"/>
        <s v="MPP1 - INSPEÇÃO VISUAL - M6"/>
        <s v="MPP4 - MANUTENÇÃO PREVENTIVA PERIÓDICA"/>
        <s v="MPP1 - INSPEÇÃO EXPEDITA - A1"/>
        <s v="INSPEÇÃO DE MANUTENÇÃO PREVENTIVA ANUAL"/>
        <s v="AVALIAÇÃO DE EQUIPE"/>
        <s v="ATIVIDADE DE ROÇADA"/>
        <s v="INSPEÇÃO DE ACOMPANHAMENTO"/>
        <s v="SERVIÇOS DE BANCADA"/>
        <s v="MPP4 - MANUTENÇÃO PREVENTIVA PERIÓDICA - A1"/>
        <s v="INSPEÇÃO DE SEGURANÇA" u="1"/>
        <s v="MPP1 - INSPEÇÃO VISUAL - M3" u="1"/>
        <s v="PATIO SE" u="1"/>
        <s v="MPP5 - ENSAIO M.R.I" u="1"/>
        <s v="ESU.00058" u="1"/>
        <s v="ESU.00057" u="1"/>
        <s v="SPI.00028" u="1"/>
        <s v="NAC.00219" u="1"/>
        <s v="TOR.00087" u="1"/>
        <s v="TOR.00080" u="1"/>
        <s v="GER.00065" u="1"/>
        <s v="GER.00122" u="1"/>
        <s v="GER.00224" u="1"/>
        <s v="GER.00218" u="1"/>
        <s v="GER.00216" u="1"/>
        <s v="CON.00059" u="1"/>
        <s v="CON.00058" u="1"/>
        <s v="CON.00057" u="1"/>
        <s v="WTG.00204" u="1"/>
        <s v="WTG.00203" u="1"/>
        <s v="WTG.00200" u="1"/>
        <s v="WTG.00201" u="1"/>
        <s v="CON.00169" u="1"/>
        <s v="WTG.00202" u="1"/>
        <s v="ESU.00170" u="1"/>
        <s v="SPT.00151" u="1"/>
        <s v="NAC.00151" u="1"/>
        <s v="GER.00151" u="1"/>
        <s v="TOR.00151" u="1"/>
        <s v="UGE.00016" u="1"/>
        <s v="TOR.00166" u="1"/>
        <s v="SPT.00166" u="1"/>
        <s v="GER.00166" u="1"/>
        <s v="NAC.00166" u="1"/>
        <s v="NAC.00167" u="1"/>
        <s v="GER.00167" u="1"/>
        <s v="TOR.00167" u="1"/>
        <s v="SPT.00167" u="1"/>
        <s v="NAC.00168" u="1"/>
        <s v="TOR.00168" u="1"/>
        <s v="SPT.00168" u="1"/>
        <s v="GER.00168" u="1"/>
        <s v="TFM.00204" u="1"/>
        <s v="CUD.00204" u="1"/>
        <s v="TOR.00169" u="1"/>
        <s v="SPT.00169" u="1"/>
        <s v="GER.00169" u="1"/>
        <s v="NAC.00169" u="1"/>
        <s v="TFM.00134" u="1"/>
        <s v="CUD.00134" u="1"/>
        <s v="TFM.00135" u="1"/>
        <s v="CUD.00135" u="1"/>
        <s v="SDAI.00296" u="1"/>
        <s v="SDAI.00295" u="1"/>
        <s v="SDAI.00294" u="1"/>
        <s v="SDAI.00293" u="1"/>
        <s v="SDAI.00292" u="1"/>
        <s v="SDAI.00291" u="1"/>
        <s v="SDAI.00282" u="1"/>
        <s v="SDAI.00290" u="1"/>
        <s v="SDAI.00289" u="1"/>
        <s v="SDAI.00288" u="1"/>
        <s v="SDAI.00287" u="1"/>
        <s v="SDAI.00286" u="1"/>
        <s v="SDAI.00285" u="1"/>
        <s v="SDAI.00284" u="1"/>
        <s v="SDAI.00283" u="1"/>
        <s v="SDAI.00042" u="1"/>
        <s v="SDAI.00041" u="1"/>
        <s v="SDAI.00040" u="1"/>
        <s v="SDAI.00039" u="1"/>
        <s v="SDAI.00038" u="1"/>
        <s v="SDAI.00035" u="1"/>
        <s v="SDAI.00036" u="1"/>
        <s v="SDAI.00034" u="1"/>
        <s v="SDAI.00033" u="1"/>
        <s v="SDAI.00031" u="1"/>
        <s v="SDAI.00030" u="1"/>
        <s v="SDAI.00029" u="1"/>
        <s v="SDAI.00028" u="1"/>
        <s v="SDAI.00027" u="1"/>
        <s v="SDAI.00026" u="1"/>
        <s v="SDAI.00025" u="1"/>
        <s v="SDAI.00023" u="1"/>
        <s v="SDAI.00022" u="1"/>
        <s v="SDAI.00021" u="1"/>
        <s v="SDAI.00020" u="1"/>
        <s v="SDAI.00019" u="1"/>
        <s v="SDAI.00017" u="1"/>
        <s v="SDAI.00016" u="1"/>
        <s v="SDAI.00013" u="1"/>
        <s v="SDAI.00015" u="1"/>
        <s v="SDAI.00012" u="1"/>
        <s v="SDAI.00011" u="1"/>
        <s v="SDAI.00300" u="1"/>
        <s v="SDAI.00299" u="1"/>
        <s v="SDAI.00298" u="1"/>
        <s v="SDAI.00297" u="1"/>
        <s v="SDAI.00010" u="1"/>
        <s v="SDAI.00009" u="1"/>
        <s v="SDAI.00008" u="1"/>
        <s v="SDAI.00006" u="1"/>
        <s v="SDAI.00007" u="1"/>
        <s v="SDAI.00005" u="1"/>
        <s v="SDAI.00004" u="1"/>
        <s v="SDAI.00002" u="1"/>
        <s v="SDAI.00003" u="1"/>
        <s v="SDAI.00001" u="1"/>
        <s v="SDAI.00047" u="1"/>
        <s v="SDAI.00046" u="1"/>
        <s v="SDAI.00045" u="1"/>
        <s v="SDAI.00044" u="1"/>
        <s v="SDAI.00043" u="1"/>
        <s v="SPT.00064" u="1"/>
        <s v="TOR.00064" u="1"/>
        <s v="GER.00064" u="1"/>
        <s v="WTG.00141" u="1"/>
        <s v="NAC.00064" u="1"/>
        <s v="APR - PT - TERCEIROS" u="1"/>
        <s v="MPP1 - INSPEÇÃO EXTERNA DE AEROGERADOR - M6" u="1"/>
        <s v="MPP5 - ENSAIO SPDA - A1" u="1"/>
        <s v="ATIVIDADE DE COLETA DE ÓLEO" u="1"/>
        <s v="SAL 17-C2" u="1"/>
        <s v="SPA.00013" u="1"/>
        <s v="GMG.00004" u="1"/>
        <s v="ESU.00152" u="1"/>
        <s v="ESU.00167" u="1"/>
        <s v="ESU.00168" u="1"/>
        <s v="ESU.00169" u="1"/>
        <s v="CON.00122" u="1"/>
        <s v="SPT.00122" u="1"/>
        <s v="TOR.00122" u="1"/>
        <s v="NAC.00122" u="1"/>
        <s v="CON.00137" u="1"/>
        <s v="SPT.00137" u="1"/>
        <s v="TOR.00137" u="1"/>
        <s v="GER.00137" u="1"/>
        <s v="NAC.00137" u="1"/>
        <s v="CON.00138" u="1"/>
        <s v="SPT.00138" u="1"/>
        <s v="TOR.00138" u="1"/>
        <s v="GER.00138" u="1"/>
        <s v="NAC.00138" u="1"/>
        <s v="CON.00139" u="1"/>
        <s v="SPT.00139" u="1"/>
        <s v="TOR.00139" u="1"/>
        <s v="GER.00139" u="1"/>
        <s v="NAC.00139" u="1"/>
        <s v="CON.00140" u="1"/>
        <s v="SPT.00140" u="1"/>
        <s v="TOR.00140" u="1"/>
        <s v="GER.00140" u="1"/>
        <s v="NAC.00140" u="1"/>
        <s v="CON.00141" u="1"/>
        <s v="SPT.00141" u="1"/>
        <s v="TOR.00141" u="1"/>
        <s v="GER.00141" u="1"/>
        <s v="NAC.00141" u="1"/>
        <s v="CON.00142" u="1"/>
        <s v="SPT.00142" u="1"/>
        <s v="TOR.00142" u="1"/>
        <s v="GER.00142" u="1"/>
        <s v="NAC.00142" u="1"/>
        <s v="CON.00143" u="1"/>
        <s v="SPT.00143" u="1"/>
        <s v="TOR.00143" u="1"/>
        <s v="GER.00143" u="1"/>
        <s v="NAC.00143" u="1"/>
        <s v="CON.00144" u="1"/>
        <s v="SPT.00144" u="1"/>
        <s v="TOR.00144" u="1"/>
        <s v="GER.00144" u="1"/>
        <s v="NAC.00144" u="1"/>
        <s v="CON.00145" u="1"/>
        <s v="SPT.00145" u="1"/>
        <s v="TOR.00145" u="1"/>
        <s v="GER.00145" u="1"/>
        <s v="NAC.00145" u="1"/>
        <s v="WTG.00194" u="1"/>
        <s v="CON.00146" u="1"/>
        <s v="SPT.00146" u="1"/>
        <s v="TOR.00146" u="1"/>
        <s v="GER.00146" u="1"/>
        <s v="NAC.00146" u="1"/>
        <s v="WTG.00195" u="1"/>
        <s v="CON.00147" u="1"/>
        <s v="SPT.00147" u="1"/>
        <s v="TOR.00147" u="1"/>
        <s v="GER.00147" u="1"/>
        <s v="NAC.00147" u="1"/>
        <s v="WTG.00196" u="1"/>
        <s v="CON.00148" u="1"/>
        <s v="SPT.00148" u="1"/>
        <s v="TOR.00148" u="1"/>
        <s v="GER.00148" u="1"/>
        <s v="NAC.00148" u="1"/>
        <s v="WTG.00197" u="1"/>
        <s v="CON.00149" u="1"/>
        <s v="SPT.00149" u="1"/>
        <s v="TOR.00149" u="1"/>
        <s v="GER.00149" u="1"/>
        <s v="NAC.00149" u="1"/>
        <s v="CON.00150" u="1"/>
        <s v="SPT.00150" u="1"/>
        <s v="TOR.00150" u="1"/>
        <s v="GER.00150" u="1"/>
        <s v="NAC.00150" u="1"/>
        <s v="CON.00151" u="1"/>
        <s v="CON.00166" u="1"/>
        <s v="CON.00167" u="1"/>
        <s v="CON.00168" u="1"/>
        <s v="CUD.00200" u="1"/>
        <s v="TFM.00200" u="1"/>
        <s v="CUD.00201" u="1"/>
        <s v="TFM.00201" u="1"/>
        <s v="CUD.00202" u="1"/>
        <s v="TFM.00202" u="1"/>
        <s v="TFM.00203" u="1"/>
        <s v="CUD.00203" u="1"/>
        <s v="INSPEÇÃO DE QUALIDADE DE AEROGERADOR" u="1"/>
        <s v="MANUTENÇÃO DE BASES" u="1"/>
        <s v="MPP2 - INSPEÇÃO TERMOGRÁFICA - M6" u="1"/>
        <s v="SPA.00009" u="1"/>
        <s v="WTG.00186" u="1"/>
        <s v="ESU.00143" u="1"/>
        <s v="ESU.00144" u="1"/>
        <s v="ESU.00145" u="1"/>
        <s v="ESU.00142" u="1"/>
        <s v="SEG.00007" u="1"/>
        <s v="ESU.00141" u="1"/>
        <s v="TFM.00293" u="1"/>
        <s v="CUD.00193" u="1"/>
        <s v="TFM.00192" u="1"/>
        <s v="CUD.00192" u="1"/>
        <s v="TFM.00191" u="1"/>
        <s v="CUD.00191" u="1"/>
        <s v="TFM.00190" u="1"/>
        <s v="CUD.00190" u="1"/>
        <s v="TFM.00189" u="1"/>
        <s v="CUD.00189" u="1"/>
        <s v="QSA.00010" u="1"/>
        <s v="TSA.00017" u="1"/>
        <s v="TSA.00008" u="1"/>
        <s v="TSA.00007" u="1"/>
        <s v="RET.00007" u="1"/>
        <s v="RET.00008" u="1"/>
        <s v="SGP.00002" u="1"/>
        <s v="CUM.00081" u="1"/>
        <s v="PPC.00036" u="1"/>
        <s v="PPC.00033" u="1"/>
        <s v="PNT.00008" u="1"/>
        <s v="PPC.00032" u="1"/>
        <s v="CUM.00030" u="1"/>
        <s v="CUM.00085" u="1"/>
        <s v="WTG.00159" u="1"/>
        <s v="TOR.00082" u="1"/>
        <s v="SPT.00082" u="1"/>
        <s v="GER.00082" u="1"/>
        <s v="NAC.00082" u="1"/>
        <s v="CON.00082" u="1"/>
        <s v="WTG.00188" u="1"/>
        <s v="WTG.00190" u="1"/>
        <s v="WTG.00189" u="1"/>
        <s v="WTG.00187" u="1"/>
        <s v="SPA.00010" u="1"/>
        <s v="SPA.00011" u="1"/>
        <s v="SPA.00012" u="1"/>
        <s v="SPA.00008" u="1"/>
        <s v="CON.00121" u="1"/>
        <s v="CON.00118" u="1"/>
        <s v="CON.00119" u="1"/>
        <s v="CON.00120" u="1"/>
        <s v="CON.00117" u="1"/>
        <s v="CON.00115" u="1"/>
        <s v="CON.00116" u="1"/>
        <s v="CON.00113" u="1"/>
        <s v="CON.00114" u="1"/>
        <s v="CON.00112" u="1"/>
        <s v="CON.00110" u="1"/>
        <s v="CON.00111" u="1"/>
        <s v="CON.00109" u="1"/>
        <s v="CON.00108" u="1"/>
        <s v="CON.00093" u="1"/>
        <s v="CON.00090" u="1"/>
        <s v="CON.00092" u="1"/>
        <s v="CON.00091" u="1"/>
        <s v="CON.00089" u="1"/>
        <s v="CON.00088" u="1"/>
        <s v="CON.00087" u="1"/>
        <s v="CON.00084" u="1"/>
        <s v="CON.00086" u="1"/>
        <s v="CON.00085" u="1"/>
        <s v="CON.00083" u="1"/>
        <s v="CON.00079" u="1"/>
        <s v="CON.00081" u="1"/>
        <s v="CON.00080" u="1"/>
        <s v="CON.00077" u="1"/>
        <s v="CON.00076" u="1"/>
        <s v="CON.00078" u="1"/>
        <s v="CON.00073" u="1"/>
        <s v="CON.00074" u="1"/>
        <s v="CON.00075" u="1"/>
        <s v="CON.00071" u="1"/>
        <s v="CON.00072" u="1"/>
        <s v="CON.00070" u="1"/>
        <s v="CON.00068" u="1"/>
        <s v="CON.00067" u="1"/>
        <s v="CON.00069" u="1"/>
        <s v="CON.00065" u="1"/>
        <s v="CON.00064" u="1"/>
        <s v="CON.00066" u="1"/>
        <s v="CON.00061" u="1"/>
        <s v="CON.00062" u="1"/>
        <s v="CON.00063" u="1"/>
        <s v="CON.00060" u="1"/>
        <s v="CON.00221" u="1"/>
        <s v="CON.00222" u="1"/>
        <s v="CON.00218" u="1"/>
        <s v="CON.00220" u="1"/>
        <s v="CON.00219" u="1"/>
        <s v="CON.00242" u="1"/>
        <s v="CON.00241" u="1"/>
        <s v="CON.00227" u="1"/>
        <s v="CON.00224" u="1"/>
        <s v="CON.00226" u="1"/>
        <s v="CON.00225" u="1"/>
        <s v="CON.00216" u="1"/>
        <s v="CON.00217" u="1"/>
        <s v="CON.00223" u="1"/>
        <s v="CON.00215" u="1"/>
        <s v="WTG.00193" u="1"/>
        <s v="WTG.00185" u="1"/>
        <s v="MPP2 - INSPEÇÃO TERMOGRÁFICA - M3" u="1"/>
        <m u="1"/>
        <s v="MPP6 - AUDITORIA DE FERRAMENTAS - M6" u="1"/>
        <s v="IMPLANTAÇÕES/MELHORIAS" u="1"/>
        <s v="REPARO DE BLADE" u="1"/>
        <s v="MPP5 - ENSAIO" u="1"/>
        <s v="MPP4 - MANUTENÇÃO PREVENTIVA PERIÓDICA - M6" u="1"/>
        <s v="MANUTENÇÃO PREDITIVA" u="1"/>
        <s v="MPP4 - MANUTENÇÃO PREVENTIVA PERIÓDICA - M1" u="1"/>
        <s v="MPP4 - MANUTENÇÃO PREVENTIVA PERIÓDICA - M3" u="1"/>
        <s v="MPP1 - INSPEÇÃO EXPEDITA - M6" u="1"/>
        <s v="MPP1 - INSPEÇÃO VISUAL - M2" u="1"/>
        <s v="INSPEÇÃO DE MANUTENÇÃO PREVENTIVA SEMI ANUAL" u="1"/>
        <s v="MANUTENÇÃO CIVIL CORRETIVA" u="1"/>
        <s v="LAVAGEM ISOLADORES" u="1"/>
        <s v="MPP1 - INSPEÇÃO MINUCIOSA - A1" u="1"/>
        <s v="MANOBRA DE ENERGIZAÇÃO/DESENERGIZAÇÃO" u="1"/>
        <s v="MANUTENÇÃO GERAL LT" u="1"/>
        <s v="MANUTENÇÃO PREVENTIVA" u="1"/>
        <s v="MPP4 - MANUTENÇÃO PREVENTIVA PERIÓDICA - A2" u="1"/>
        <s v="ORGANIZAÇÃO/LIMPEZA" u="1"/>
        <s v="MANUTENÇÃO FIBRA ÓPTICA" u="1"/>
        <s v="MPP2 - INSPEÇÃO TERMOGRÁFICA" u="1"/>
        <s v="MANUTENÇÃO CORRETIVA NÃO PLANEJADA" u="1"/>
        <s v="MANUTENÇÃO CORRETIVA NÃO PLANEJADA WTG" u="1"/>
        <s v="TROCA/MOVIMENTAÇÃO DE ATIVOS" u="1"/>
        <s v="MPP2 - INSPEÇÃO TERMOGRÁFICA - A1" u="1"/>
        <s v="SERVIÇO DE DEDETIZAÇÃO" u="1"/>
        <s v="ATUALIZAÇÃO DE SOFTWARE WTG" u="1"/>
        <s v="INSPEÇÃO MECÂNICA DE AEROGERADOR" u="1"/>
        <s v="INSPEÇÃO DE ACOMPANHAMENTO DE TERCEIROS" u="1"/>
        <s v="MPP1 - INSPEÇÃO VISUAL - A1" u="1"/>
        <s v="MPP1 - INSPEÇÃO VISUAL" u="1"/>
        <s v="MPP2 - INSPEÇÃO EXTERNA DE BLADE - A1" u="1"/>
        <s v="SE - INSPEÇÃO" u="1"/>
      </sharedItems>
    </cacheField>
    <cacheField name="Ativo" numFmtId="0">
      <sharedItems/>
    </cacheField>
    <cacheField name="Dt. Início" numFmtId="164">
      <sharedItems containsDate="1" containsBlank="1" containsMixedTypes="1" minDate="2025-03-20T00:00:00" maxDate="2026-05-04T08:00:00" count="605">
        <s v="04/05/2026 08:00"/>
        <s v="06/05/2026 13:00"/>
        <s v="06/05/2026 08:00"/>
        <s v="07/05/2026 08:00"/>
        <s v="05/05/2026 13:00"/>
        <s v="05/05/2026 08:00"/>
        <s v="08/05/2026 08:00"/>
        <d v="2026-04-04T08:00:00" u="1"/>
        <d v="2026-05-04T08:00:00" u="1"/>
        <s v="29/04/2026 08:00" u="1"/>
        <s v="28/04/2026 08:00" u="1"/>
        <s v="01/05/2026 08:00" u="1"/>
        <s v="27/04/2026 08:00" u="1"/>
        <s v="27/04/2026 13:00" u="1"/>
        <s v="28/04/2026 13:00" u="1"/>
        <s v="30/04/2026 08:00" u="1"/>
        <d v="2026-04-27T13:00:00" u="1"/>
        <d v="2026-04-27T08:00:00" u="1"/>
        <s v="SEG.00007" u="1"/>
        <s v="22/04/2026 13:00" u="1"/>
        <s v="23/04/2026 08:00" u="1"/>
        <s v="24/04/2026 08:00" u="1"/>
        <s v="22/04/2026 08:00" u="1"/>
        <s v="14/04/2026 13:00" u="1"/>
        <s v="13/04/2026 13:00" u="1"/>
        <s v="13/04/2026 08:00" u="1"/>
        <s v="17/04/2026 08:00" u="1"/>
        <s v="15/04/2026 08:00" u="1"/>
        <s v="15/04/2026 13:00" u="1"/>
        <s v="16/04/2026 08:00" u="1"/>
        <s v="14/04/2026 08:00" u="1"/>
        <s v="14/04/2026 17:00" u="1"/>
        <s v="13/04/2026 17:00" u="1"/>
        <s v="17/04/2026 16:00" u="1"/>
        <s v="17/04/2026 12:00" u="1"/>
        <s v="15/04/2026 12:00" u="1"/>
        <s v="15/04/2026 17:00" u="1"/>
        <s v="17/04/2026 10:00" u="1"/>
        <s v="16/04/2026 10:00" u="1"/>
        <s v="15/04/2026 10:00" u="1"/>
        <s v="13/04/2026 10:00" u="1"/>
        <s v="14/04/2026 12:00" u="1"/>
        <s v="16/04/2026 17:00" u="1"/>
        <s v="14/04/2026 16:00" u="1"/>
        <s v="13/04/2026 12:00" u="1"/>
        <s v="17/04/2026 17:00" u="1"/>
        <s v="08/04/2026 08:00" u="1"/>
        <s v="10/04/2026 08:00" u="1"/>
        <s v="09/04/2026 08:00" u="1"/>
        <s v="07/04/2026 08:00" u="1"/>
        <s v="06/04/2026 08:00" u="1"/>
        <s v="06/04/2026 13:00" u="1"/>
        <d v="2026-04-09T08:00:00" u="1"/>
        <d v="2026-04-06T08:00:00" u="1"/>
        <s v="CON.00166" u="1"/>
        <s v="30/03/2026 08:00" u="1"/>
        <s v="30/03/2026 13:00" u="1"/>
        <s v="31/03/2026 08:00" u="1"/>
        <s v="31/03/2026 13:00" u="1"/>
        <s v="01/04/2026 13:00" u="1"/>
        <s v="01/04/2026 08:00" u="1"/>
        <s v="02/04/2026 08:00" u="1"/>
        <s v="02/04/2026 17:00" u="1"/>
        <s v="30/03/2026 12:00" u="1"/>
        <s v="30/03/2026 17:00" u="1"/>
        <s v="31/03/2026 12:00" u="1"/>
        <s v="31/03/2026 17:00" u="1"/>
        <s v="01/04/2026 17:00" u="1"/>
        <s v="01/04/2026 12:00" u="1"/>
        <s v="23/03/2026 08:00" u="1"/>
        <s v="23/03/2026 13:00" u="1"/>
        <s v="24/03/2026 08:00" u="1"/>
        <s v="24/03/2026 13:00" u="1"/>
        <s v="25/03/2026 08:00" u="1"/>
        <s v="26/03/2026 08:00" u="1"/>
        <s v="27/03/2026 08:00" u="1"/>
        <s v="09/03/2026 08:00" u="1"/>
        <s v="09/03/2026 13:00" u="1"/>
        <s v="10/03/2026 08:00" u="1"/>
        <s v="10/03/2026 13:00" u="1"/>
        <s v="11/03/2026 08:00" u="1"/>
        <s v="11/03/2026 13:00" u="1"/>
        <s v="12/03/2026 08:00" u="1"/>
        <s v="12/03/2026 13:00" u="1"/>
        <s v="13/03/2026 08:00" u="1"/>
        <s v="12/03/2026 10:00" u="1"/>
        <s v="09/03/2026 07:00" u="1"/>
        <s v="09/03/2026 12:00" u="1"/>
        <s v="09/03/2026 17:00" u="1"/>
        <s v="10/03/2026 17:00" u="1"/>
        <s v="11/03/2026 12:00" u="1"/>
        <s v="11/03/2026 17:00" u="1"/>
        <s v="13/03/2026 17:00" u="1"/>
        <s v="16/03/2026 12:00" u="1"/>
        <s v="10/03/2026 12:00" u="1"/>
        <s v="12/03/2026 17:00" u="1"/>
        <s v="13/03/2026 16:00" u="1"/>
        <s v="12/03/2026 12:00" u="1"/>
        <s v="10/03/2026 09:00" u="1"/>
        <s v="02/03/2026 08:00" u="1"/>
        <s v="02/03/2026 13:00" u="1"/>
        <s v="03/03/2026 08:00" u="1"/>
        <s v="03/03/2026 13:00" u="1"/>
        <s v="04/03/2026 08:00" u="1"/>
        <s v="04/03/2026 13:00" u="1"/>
        <s v="05/03/2026 08:00" u="1"/>
        <s v="06/03/2026 08:00" u="1"/>
        <m u="1"/>
        <s v="25/02/2026 13:00" u="1"/>
        <s v="25/02/2026 08:00" u="1"/>
        <s v="24/02/2026 13:00" u="1"/>
        <s v="23/02/2026 13:00" u="1"/>
        <s v="24/02/2026 08:00" u="1"/>
        <s v="23/02/2026 08:00" u="1"/>
        <s v="27/02/2026 08:00" u="1"/>
        <s v="26/02/2026 08:00" u="1"/>
        <d v="2026-02-23T08:00:00" u="1"/>
        <s v="02/02/2026 08:00" u="1"/>
        <s v="18/02/2026 13:00" u="1"/>
        <s v="20/02/2026 08:00" u="1"/>
        <s v="19/02/2026 08:00" u="1"/>
        <d v="2026-02-20T08:00:00" u="1"/>
        <s v="18/02/2026 08:00" u="1"/>
        <d v="2026-02-18T08:00:00" u="1"/>
        <s v="28/01/2026 13:00" u="1"/>
        <s v="26/01/2026 08:00" u="1"/>
        <s v="27/10/2025 07:00" u="1"/>
        <d v="2026-02-09T08:00:00" u="1"/>
        <s v="11/02/2026 08:00" u="1"/>
        <s v="12/02/2026 08:00" u="1"/>
        <s v="13/02/2026 08:00" u="1"/>
        <d v="2026-02-09T00:00:00" u="1"/>
        <s v="09/02/2026 07:00" u="1"/>
        <s v="14/01/2026 13:30" u="1"/>
        <s v="09/02/2026 08:00" u="1"/>
        <s v="12/02/2026 12:00" u="1"/>
        <s v="13/02/2026 13:00" u="1"/>
        <s v="06/02/2026 08:00" u="1"/>
        <d v="2026-02-02T08:00:00" u="1"/>
        <d v="2026-02-03T08:00:00" u="1"/>
        <s v="05/02/2026 08:00" u="1"/>
        <s v="04/02/2026 08:00" u="1"/>
        <s v="29/01/2026 08:00" u="1"/>
        <s v="03/02/2026 08:00" u="1"/>
        <s v="27/01/2026 08:00" u="1"/>
        <s v="28/01/2026 08:00" u="1"/>
        <s v="30/01/2026 08:00" u="1"/>
        <d v="2026-01-26T08:00:00" u="1"/>
        <s v="26/01/2026 09:00" u="1"/>
        <s v="21/01/2026 08:00" u="1"/>
        <s v="19/01/2026 08:00" u="1"/>
        <s v="20/01/2026 08:00" u="1"/>
        <s v="22/01/2026 08:00" u="1"/>
        <s v="23/01/2026 08:00" u="1"/>
        <s v="12/01/2026 08:00" u="1"/>
        <s v="SGP.00002" u="1"/>
        <s v="CAS.00006" u="1"/>
        <s v="GMG.00004" u="1"/>
        <s v="PPC.00061" u="1"/>
        <s v="PPC.00060" u="1"/>
        <s v="PPC.00036" u="1"/>
        <s v="PPC.00035" u="1"/>
        <s v="PPC.00034" u="1"/>
        <s v="PPC.00033" u="1"/>
        <s v="PPC.00032" u="1"/>
        <s v="DJA.00009" u="1"/>
        <s v="DJM.00025" u="1"/>
        <s v="DJM.00043" u="1"/>
        <s v="TPA.00074" u="1"/>
        <s v="CUM.00102" u="1"/>
        <s v="TPA.00073" u="1"/>
        <s v="TPA.00072" u="1"/>
        <s v="TCA.00084" u="1"/>
        <s v="TCA.00083" u="1"/>
        <s v="TCA.00082" u="1"/>
        <s v="PRA.00155" u="1"/>
        <s v="PRA.00154" u="1"/>
        <s v="PRA.00153" u="1"/>
        <s v="PRA.00152" u="1"/>
        <s v="PRA.00151" u="1"/>
        <s v="PRA.00150" u="1"/>
        <s v="PRA.00149" u="1"/>
        <s v="PRA.00148" u="1"/>
        <s v="PRA.00147" u="1"/>
        <s v="TFA.00007" u="1"/>
        <s v="SEG.00014" u="1"/>
        <s v="TFA.00016" u="1"/>
        <s v="TFA.00015" u="1"/>
        <s v="TFA.00014" u="1"/>
        <s v="CUM.00037" u="1"/>
        <s v="CUM.00041" u="1"/>
        <s v="CUM.00040" u="1"/>
        <s v="DJM.00035" u="1"/>
        <s v="CUM.00038" u="1"/>
        <s v="CUM.00036" u="1"/>
        <s v="CUM.00035" u="1"/>
        <s v="DJM.00030" u="1"/>
        <s v="CUM.00032" u="1"/>
        <s v="CUM.00031" u="1"/>
        <s v="DJM.00027" u="1"/>
        <s v="CUM.00029" u="1"/>
        <s v="BRR.00003" u="1"/>
        <s v="DJA.00011" u="1"/>
        <s v="TFA.00008" u="1"/>
        <s v="CSA.00020" u="1"/>
        <s v="DJA.00010" u="1"/>
        <s v="CSA.00019" u="1"/>
        <s v="TFA.00006" u="1"/>
        <s v="CSA.00018" u="1"/>
        <s v="CUM.00067" u="1"/>
        <s v="CUM.00066" u="1"/>
        <s v="CUM.00042" u="1"/>
        <s v="PNT.00008" u="1"/>
        <s v="CUM.00085" u="1"/>
        <s v="CUM.00083" u="1"/>
        <s v="CUM.00084" u="1"/>
        <s v="CUM.00082" u="1"/>
        <s v="CUM.00081" u="1"/>
        <s v="CUM.00080" u="1"/>
        <s v="CUM.00079" u="1"/>
        <s v="CUM.00078" u="1"/>
        <s v="CUM.00077" u="1"/>
        <s v="CUM.00076" u="1"/>
        <s v="CUM.00075" u="1"/>
        <s v="CUM.00028" u="1"/>
        <s v="CUM.00074" u="1"/>
        <s v="CUM.00039" u="1"/>
        <s v="CUM.00034" u="1"/>
        <s v="CUM.00072" u="1"/>
        <s v="CUM.00071" u="1"/>
        <s v="CUM.00070" u="1"/>
        <s v="CUM.00069" u="1"/>
        <s v="CUM.00030" u="1"/>
        <s v="TSA.00017" u="1"/>
        <s v="BBT.00008" u="1"/>
        <s v="BBT.00011" u="1"/>
        <s v="TSA.00008" u="1"/>
        <s v="TSA.00007" u="1"/>
        <s v="RET.00008" u="1"/>
        <s v="RET.00007" u="1"/>
        <s v="QSA.00011" u="1"/>
        <s v="QSA.00010" u="1"/>
        <s v="SFA.00003" u="1"/>
        <s v="TFM.00126" u="1"/>
        <s v="CUD.00126" u="1"/>
        <s v="ESU.00222" u="1"/>
        <s v="TFM.00125" u="1"/>
        <s v="CUD.00125" u="1"/>
        <s v="ESU.00221" u="1"/>
        <s v="TFM.00124" u="1"/>
        <s v="CUD.00124" u="1"/>
        <s v="ESU.00220" u="1"/>
        <s v="TFM.00123" u="1"/>
        <s v="CUD.00123" u="1"/>
        <s v="ESU.00219" u="1"/>
        <s v="TFM.00122" u="1"/>
        <s v="CUD.00122" u="1"/>
        <s v="ESU.00218" u="1"/>
        <s v="TFM.00133" u="1"/>
        <s v="CUD.00133" u="1"/>
        <s v="ESU.00242" u="1"/>
        <s v="CUD.00132" u="1"/>
        <s v="ESU.00241" u="1"/>
        <s v="TFM.00131" u="1"/>
        <s v="CUD.00131" u="1"/>
        <s v="ESU.00227" u="1"/>
        <s v="TFM.00130" u="1"/>
        <s v="CUD.00130" u="1"/>
        <s v="ESU.00226" u="1"/>
        <s v="TFM.00129" u="1"/>
        <s v="CUD.00129" u="1"/>
        <s v="ESU.00225" u="1"/>
        <s v="TFM.00128" u="1"/>
        <s v="CUD.00128" u="1"/>
        <s v="ESU.00224" u="1"/>
        <s v="TFM.00127" u="1"/>
        <s v="CUD.00127" u="1"/>
        <s v="ESU.00223" u="1"/>
        <s v="TFM.00121" u="1"/>
        <s v="CUD.00121" u="1"/>
        <s v="ESU.00217" u="1"/>
        <s v="TFM.00120" u="1"/>
        <s v="CUD.00120" u="1"/>
        <s v="ESU.00216" u="1"/>
        <s v="TFM.00119" u="1"/>
        <s v="CUD.00119" u="1"/>
        <s v="ESU.00215" u="1"/>
        <s v="CON.00215" u="1"/>
        <s v="SPT.00215" u="1"/>
        <s v="TOR.00215" u="1"/>
        <s v="GER.00215" u="1"/>
        <s v="NAC.00215" u="1"/>
        <s v="WTG.00119" u="1"/>
        <s v="CON.00227" u="1"/>
        <s v="CON.00226" u="1"/>
        <s v="CON.00225" u="1"/>
        <s v="TOR.00224" u="1"/>
        <s v="SPT.00224" u="1"/>
        <s v="NAC.00224" u="1"/>
        <s v="GER.00224" u="1"/>
        <s v="CON.00224" u="1"/>
        <s v="TOR.00223" u="1"/>
        <s v="SPT.00223" u="1"/>
        <s v="NAC.00223" u="1"/>
        <s v="GER.00223" u="1"/>
        <s v="CON.00223" u="1"/>
        <s v="TOR.00217" u="1"/>
        <s v="SPT.00217" u="1"/>
        <s v="NAC.00217" u="1"/>
        <s v="GER.00217" u="1"/>
        <s v="CON.00217" u="1"/>
        <s v="TOR.00216" u="1"/>
        <s v="SPT.00216" u="1"/>
        <s v="NAC.00216" u="1"/>
        <s v="GER.00216" u="1"/>
        <s v="CON.00216" u="1"/>
        <s v="WTG.00131" u="1"/>
        <s v="WTG.00129" u="1"/>
        <d v="2026-01-07T08:00:00" u="1"/>
        <d v="2026-01-05T08:00:00" u="1"/>
        <d v="2026-01-09T08:00:00" u="1"/>
        <d v="2026-01-08T08:00:00" u="1"/>
        <d v="2026-01-06T08:00:00" u="1"/>
        <d v="2025-12-30T08:00:00" u="1"/>
        <d v="2025-12-31T08:00:00" u="1"/>
        <d v="2025-12-22T08:00:00" u="1"/>
        <d v="2025-12-23T08:00:00" u="1"/>
        <d v="2025-12-19T08:00:00" u="1"/>
        <d v="2025-12-18T08:00:00" u="1"/>
        <d v="2025-12-17T08:00:00" u="1"/>
        <d v="2025-12-16T08:00:00" u="1"/>
        <d v="2025-12-15T08:00:00" u="1"/>
        <d v="2025-12-19T07:00:00" u="1"/>
        <d v="2025-12-20T07:00:00" u="1"/>
        <d v="2025-12-08T08:00:00" u="1"/>
        <d v="2025-12-11T08:00:00" u="1"/>
        <d v="2025-12-10T08:00:00" u="1"/>
        <d v="2025-12-09T08:00:00" u="1"/>
        <d v="2025-12-12T08:00:00" u="1"/>
        <d v="2025-12-08T07:00:00" u="1"/>
        <d v="2025-12-01T08:00:00" u="1"/>
        <d v="2025-12-05T08:00:00" u="1"/>
        <d v="2025-12-02T07:00:00" u="1"/>
        <d v="2025-12-02T08:00:00" u="1"/>
        <d v="2025-12-03T08:00:00" u="1"/>
        <d v="2025-12-04T08:00:00" u="1"/>
        <d v="2025-12-03T05:00:00" u="1"/>
        <d v="2025-12-03T06:00:00" u="1"/>
        <d v="2025-12-03T07:00:00" u="1"/>
        <d v="2025-12-03T13:00:00" u="1"/>
        <d v="2025-12-04T10:00:00" u="1"/>
        <d v="2025-12-04T13:00:00" u="1"/>
        <d v="2025-12-04T17:00:00" u="1"/>
        <d v="2025-12-05T09:00:00" u="1"/>
        <d v="2025-12-05T07:00:00" u="1"/>
        <d v="2025-11-24T08:00:00" u="1"/>
        <d v="2025-11-27T08:00:00" u="1"/>
        <d v="2025-11-25T08:00:00" u="1"/>
        <d v="2025-11-26T08:00:00" u="1"/>
        <d v="2025-11-28T07:00:00" u="1"/>
        <d v="2025-11-28T08:00:00" u="1"/>
        <d v="2025-11-29T08:00:00" u="1"/>
        <d v="2025-11-24T09:00:00" u="1"/>
        <d v="2025-11-27T09:00:00" u="1"/>
        <d v="2025-11-17T08:00:00" u="1"/>
        <d v="2025-11-18T08:00:00" u="1"/>
        <d v="2025-11-19T08:00:00" u="1"/>
        <d v="2025-11-19T09:00:00" u="1"/>
        <d v="2025-11-20T08:00:00" u="1"/>
        <d v="2025-11-12T08:00:00" u="1"/>
        <d v="2025-11-11T08:00:00" u="1"/>
        <d v="2025-11-10T07:00:00" u="1"/>
        <d v="2025-11-10T06:00:00" u="1"/>
        <d v="2025-11-13T08:00:00" u="1"/>
        <d v="2025-11-12T04:00:00" u="1"/>
        <d v="2025-11-10T08:00:00" u="1"/>
        <d v="2025-11-14T08:00:00" u="1"/>
        <d v="2025-11-13T09:00:00" u="1"/>
        <d v="2025-11-06T08:00:00" u="1"/>
        <d v="2025-11-05T08:00:00" u="1"/>
        <d v="2025-11-04T08:00:00" u="1"/>
        <d v="2025-11-03T08:00:00" u="1"/>
        <d v="2025-11-05T13:00:00" u="1"/>
        <d v="2025-11-04T13:00:00" u="1"/>
        <d v="2025-11-03T13:00:00" u="1"/>
        <d v="2025-11-03T07:00:00" u="1"/>
        <d v="2025-11-07T08:00:00" u="1"/>
        <d v="2025-11-07T07:00:00" u="1"/>
        <d v="2025-11-06T07:00:00" u="1"/>
        <d v="2025-11-05T07:00:00" u="1"/>
        <d v="2025-11-04T07:00:00" u="1"/>
        <d v="2025-11-03T06:00:00" u="1"/>
        <d v="2025-11-04T09:00:00" u="1"/>
        <d v="2025-11-06T09:00:00" u="1"/>
        <d v="2025-11-02T21:00:00" u="1"/>
        <d v="2025-10-27T07:00:00" u="1"/>
        <d v="2025-10-27T08:00:00" u="1"/>
        <d v="2025-10-27T13:00:00" u="1"/>
        <d v="2025-10-28T07:00:00" u="1"/>
        <d v="2025-10-28T08:00:00" u="1"/>
        <d v="2025-10-28T13:00:00" u="1"/>
        <d v="2025-10-29T00:00:00" u="1"/>
        <d v="2025-10-29T07:00:00" u="1"/>
        <d v="2025-10-29T08:00:00" u="1"/>
        <d v="2025-10-29T13:00:00" u="1"/>
        <d v="2025-10-30T00:00:00" u="1"/>
        <d v="2025-10-30T07:00:00" u="1"/>
        <d v="2025-10-30T08:00:00" u="1"/>
        <d v="2025-10-30T13:00:00" u="1"/>
        <d v="2025-10-31T07:00:00" u="1"/>
        <d v="2025-10-31T13:00:00" u="1"/>
        <d v="2025-10-24T06:00:00" u="1"/>
        <d v="2025-03-20T00:00:00" u="1"/>
        <d v="2025-03-31T00:00:00" u="1"/>
        <d v="2025-03-31T07:00:00" u="1"/>
        <d v="2025-10-16T08:00:00" u="1"/>
        <d v="2025-10-07T08:00:00" u="1"/>
        <d v="2025-10-24T14:00:00" u="1"/>
        <d v="2025-10-02T08:00:00" u="1"/>
        <d v="2025-10-16T10:00:00" u="1"/>
        <d v="2025-10-20T08:00:00" u="1"/>
        <d v="2025-10-21T08:00:00" u="1"/>
        <d v="2025-10-22T08:00:00" u="1"/>
        <d v="2025-10-23T08:00:00" u="1"/>
        <d v="2025-10-20T13:00:00" u="1"/>
        <d v="2025-10-21T13:00:00" u="1"/>
        <d v="2025-10-22T13:00:00" u="1"/>
        <d v="2025-10-23T09:00:00" u="1"/>
        <d v="2025-10-23T13:00:00" u="1"/>
        <d v="2025-10-24T13:00:00" u="1"/>
        <d v="2025-10-25T07:00:00" u="1"/>
        <d v="2025-10-24T08:00:00" u="1"/>
        <d v="2025-10-14T08:00:00" u="1"/>
        <d v="2025-10-13T08:00:00" u="1"/>
        <d v="2025-10-17T08:00:00" u="1"/>
        <d v="2025-10-14T12:00:00" u="1"/>
        <d v="2025-10-15T08:00:00" u="1"/>
        <d v="2025-10-16T16:00:00" u="1"/>
        <d v="2025-10-13T13:00:00" u="1"/>
        <d v="2025-10-14T13:00:00" u="1"/>
        <d v="2025-10-15T13:00:00" u="1"/>
        <d v="2025-10-17T13:00:00" u="1"/>
        <d v="2025-10-16T14:00:00" u="1"/>
        <d v="2025-10-16T13:00:00" u="1"/>
        <d v="2025-10-06T07:00:00" u="1"/>
        <d v="2025-10-06T08:00:00" u="1"/>
        <d v="2025-10-09T08:00:00" u="1"/>
        <d v="2025-10-07T07:00:00" u="1"/>
        <d v="2025-10-07T13:00:00" u="1"/>
        <d v="2025-10-08T08:00:00" u="1"/>
        <d v="2025-10-10T08:00:00" u="1"/>
        <d v="2025-10-10T13:00:00" u="1"/>
        <d v="2025-10-09T13:00:00" u="1"/>
        <d v="2025-10-08T13:00:00" u="1"/>
        <d v="2025-10-07T12:00:00" u="1"/>
        <d v="2025-10-06T13:00:00" u="1"/>
        <d v="2025-09-22T08:00:00" u="1"/>
        <d v="2025-09-23T08:00:00" u="1"/>
        <d v="2025-09-24T08:00:00" u="1"/>
        <d v="2025-09-25T08:00:00" u="1"/>
        <d v="2025-09-25T09:00:00" u="1"/>
        <d v="2025-09-26T08:00:00" u="1"/>
        <d v="2025-09-08T07:00:00" u="1"/>
        <d v="2025-09-08T08:00:00" u="1"/>
        <d v="2025-09-09T08:00:00" u="1"/>
        <d v="2025-09-10T08:00:00" u="1"/>
        <d v="2025-09-11T08:00:00" u="1"/>
        <d v="2025-09-11T13:00:00" u="1"/>
        <d v="2025-09-08T12:00:00" u="1"/>
        <d v="2025-09-08T15:00:00" u="1"/>
        <d v="2025-09-09T12:00:00" u="1"/>
        <d v="2025-09-09T15:00:00" u="1"/>
        <d v="2025-09-10T12:00:00" u="1"/>
        <d v="2025-09-10T13:00:00" u="1"/>
        <d v="2025-09-10T15:00:00" u="1"/>
        <d v="2025-09-11T15:00:00" u="1"/>
        <d v="2025-09-12T08:00:00" u="1"/>
        <d v="2025-09-12T13:00:00" u="1"/>
        <d v="2025-09-09T07:00:00" u="1"/>
        <d v="2025-09-01T08:00:00" u="1"/>
        <d v="2025-09-02T08:00:00" u="1"/>
        <d v="2025-09-03T08:00:00" u="1"/>
        <d v="2025-09-04T08:00:00" u="1"/>
        <d v="2025-09-05T07:00:00" u="1"/>
        <d v="2025-09-05T08:00:00" u="1"/>
        <d v="2025-09-02T09:00:00" u="1"/>
        <d v="2025-09-02T13:00:00" u="1"/>
        <d v="2025-09-01T07:00:00" u="1"/>
        <d v="2025-09-02T07:00:00" u="1"/>
        <d v="2025-09-03T07:00:00" u="1"/>
        <d v="2025-09-05T09:00:00" u="1"/>
        <d v="2025-09-04T07:00:00" u="1"/>
        <d v="2025-08-11T08:00:00" u="1"/>
        <d v="2025-08-12T08:00:00" u="1"/>
        <d v="2025-08-13T08:00:00" u="1"/>
        <d v="2025-08-14T08:00:00" u="1"/>
        <d v="2025-08-15T08:00:00" u="1"/>
        <d v="2025-08-12T09:00:00" u="1"/>
        <d v="2025-08-13T09:00:00" u="1"/>
        <d v="2025-08-14T09:00:00" u="1"/>
        <d v="2025-08-14T10:00:00" u="1"/>
        <d v="2025-08-15T09:00:00" u="1"/>
        <d v="2025-08-11T07:00:00" u="1"/>
        <d v="2025-08-12T07:00:00" u="1"/>
        <d v="2025-08-05T08:00:00" u="1"/>
        <d v="2025-08-06T08:00:00" u="1"/>
        <d v="2025-08-04T08:00:00" u="1"/>
        <d v="2025-08-07T08:00:00" u="1"/>
        <d v="2025-08-04T07:00:00" u="1"/>
        <d v="2025-08-05T09:00:00" u="1"/>
        <d v="2025-08-07T09:00:00" u="1"/>
        <d v="2025-08-08T09:00:00" u="1"/>
        <d v="2025-08-08T08:00:00" u="1"/>
        <d v="2025-08-06T09:00:00" u="1"/>
        <d v="2025-07-28T08:00:00" u="1"/>
        <d v="2025-07-29T08:00:00" u="1"/>
        <d v="2025-07-30T08:00:00" u="1"/>
        <d v="2025-07-31T08:00:00" u="1"/>
        <d v="2025-07-28T07:00:00" u="1"/>
        <d v="2025-07-29T09:00:00" u="1"/>
        <d v="2025-07-31T09:00:00" u="1"/>
        <d v="2025-08-01T09:00:00" u="1"/>
        <d v="2025-08-01T08:00:00" u="1"/>
        <d v="2025-07-08T08:00:00" u="1"/>
        <d v="2025-07-21T08:00:00" u="1"/>
        <d v="2025-07-22T08:00:00" u="1"/>
        <d v="2025-07-23T08:00:00" u="1"/>
        <d v="2025-07-24T08:00:00" u="1"/>
        <d v="2025-07-21T09:00:00" u="1"/>
        <d v="2025-07-21T10:00:00" u="1"/>
        <d v="2025-07-21T14:00:00" u="1"/>
        <d v="2025-07-21T15:00:00" u="1"/>
        <d v="2025-07-22T09:00:00" u="1"/>
        <d v="2025-07-23T09:00:00" u="1"/>
        <d v="2025-07-24T09:00:00" u="1"/>
        <d v="2025-07-25T08:00:00" u="1"/>
        <d v="2025-07-21T05:00:00" u="1"/>
        <d v="2025-07-14T08:00:00" u="1"/>
        <d v="2025-07-15T08:00:00" u="1"/>
        <d v="2025-07-16T08:00:00" u="1"/>
        <d v="2025-07-17T08:00:00" u="1"/>
        <d v="2025-07-17T07:00:00" u="1"/>
        <d v="2025-07-17T13:00:00" u="1"/>
        <d v="2025-07-18T08:00:00" u="1"/>
        <d v="2025-07-18T09:00:00" u="1"/>
        <d v="2025-07-09T08:00:00" u="1"/>
        <d v="2025-07-10T08:00:00" u="1"/>
        <d v="2025-07-11T08:00:00" u="1"/>
        <d v="2025-07-06T07:00:00" u="1"/>
        <d v="2025-07-07T07:00:00" u="1"/>
        <d v="2025-07-09T13:00:00" u="1"/>
        <d v="2025-07-10T13:00:00" u="1"/>
        <d v="2025-07-08T07:00:00" u="1"/>
        <d v="2025-07-09T07:00:00" u="1"/>
        <d v="2025-07-10T07:00:00" u="1"/>
        <d v="2025-07-11T07:00:00" u="1"/>
        <d v="2025-07-09T10:00:00" u="1"/>
        <d v="2025-07-07T08:00:00" u="1"/>
        <d v="2025-07-12T08:00:00" u="1"/>
        <d v="2025-07-07T05:00:00" u="1"/>
        <d v="2025-07-08T05:00:00" u="1"/>
        <d v="2025-07-08T10:00:00" u="1"/>
        <d v="2025-07-09T05:00:00" u="1"/>
        <d v="2025-07-10T05:00:00" u="1"/>
        <d v="2025-06-30T08:00:00" u="1"/>
        <d v="2025-07-01T08:00:00" u="1"/>
        <d v="2025-07-02T08:00:00" u="1"/>
        <d v="2025-07-02T10:00:00" u="1"/>
        <d v="2025-07-03T08:00:00" u="1"/>
        <d v="2025-07-04T06:00:00" u="1"/>
        <d v="2025-07-05T07:00:00" u="1"/>
        <d v="2025-07-03T13:00:00" u="1"/>
        <d v="2025-07-04T08:00:00" u="1"/>
        <d v="2025-07-05T08:00:00" u="1"/>
        <d v="2025-06-30T05:00:00" u="1"/>
        <d v="2025-07-01T05:00:00" u="1"/>
        <d v="2025-07-02T05:00:00" u="1"/>
        <d v="2025-07-03T05:00:00" u="1"/>
        <d v="2025-07-04T05:00:00" u="1"/>
        <d v="2025-06-23T07:00:00" u="1"/>
        <d v="2025-06-23T05:00:00" u="1"/>
        <d v="2025-06-23T08:00:00" u="1"/>
        <d v="2025-06-24T05:00:00" u="1"/>
        <d v="2025-06-24T08:00:00" u="1"/>
        <d v="2025-06-25T05:00:00" u="1"/>
        <d v="2025-06-25T08:00:00" u="1"/>
        <d v="2025-06-26T05:00:00" u="1"/>
        <d v="2025-06-26T08:00:00" u="1"/>
        <d v="2025-06-27T05:00:00" u="1"/>
        <d v="2025-06-27T08:00:00" u="1"/>
        <d v="2025-06-19T07:00:00" u="1"/>
        <d v="2025-06-09T08:00:00" u="1"/>
        <d v="2025-06-10T08:00:00" u="1"/>
        <d v="2025-06-11T08:00:00" u="1"/>
        <d v="2025-06-12T08:00:00" u="1"/>
        <d v="2025-06-10T07:00:00" u="1"/>
        <d v="2025-06-10T13:00:00" u="1"/>
        <d v="2025-06-11T07:00:00" u="1"/>
        <d v="2025-06-12T07:00:00" u="1"/>
        <d v="2025-06-12T09:00:00" u="1"/>
        <d v="2025-06-13T08:00:00" u="1"/>
        <d v="2025-06-09T05:00:00" u="1"/>
        <d v="2025-06-10T05:00:00" u="1"/>
        <d v="2025-06-12T05:00:00" u="1"/>
        <d v="2025-06-13T05:00:00" u="1"/>
      </sharedItems>
    </cacheField>
    <cacheField name="Dt. Término" numFmtId="0">
      <sharedItems/>
    </cacheField>
    <cacheField name="Responsápel" numFmtId="0">
      <sharedItems containsMixedTypes="1" containsNumber="1" minValue="46118.5" maxValue="46142.708333333336" count="12">
        <s v="jardels - JARDEL DOS PASSOS SOUZA"/>
        <s v="brunof - BRUNO DIAS DA FONSECA"/>
        <s v="robertor - ROBERTO DE RAMOS"/>
        <s v="Joaos - JOAO MARIA DE SOUZA"/>
        <s v="patrickl - PATRICK SELK LIMA"/>
        <s v="WesleyS - Neemuel Wesley Pereira de Sousa"/>
        <s v="alesandros - ALESANDRO LEMES DOS SANTOS"/>
        <s v="williams - WILLIAM MOURA DE SOUZA"/>
        <s v="andersons - ANDERSON SCHONS"/>
        <s v="thiagof - THIAGO FANTINEL"/>
        <n v="46142.708333333336" u="1"/>
        <n v="46118.5" u="1"/>
      </sharedItems>
    </cacheField>
    <cacheField name="Observação" numFmtId="0">
      <sharedItems/>
    </cacheField>
    <cacheField name="Lote OS" numFmtId="0">
      <sharedItems/>
    </cacheField>
    <cacheField name="SI" numFmtId="0">
      <sharedItems/>
    </cacheField>
    <cacheField name="Status SI" numFmtId="0">
      <sharedItems/>
    </cacheField>
    <cacheField name="Status OS" numFmtId="0">
      <sharedItems containsBlank="1" count="3">
        <s v="Não Executada"/>
        <m/>
        <s v="Executada" u="1"/>
      </sharedItems>
    </cacheField>
    <cacheField name="Cód. Justificativa" numFmtId="0">
      <sharedItems containsNonDate="0" containsBlank="1" count="18">
        <m/>
        <s v="Falha na Programação" u="1"/>
        <s v="Justificativa Pendente" u="1"/>
        <s v="Desvio de Programação" u="1"/>
        <s v="Tempo Insuficiente" u="1"/>
        <s v="Atestado Médico" u="1"/>
        <s v="Atividade Cancelada" u="1"/>
        <s v="Atv. Não Exec. no EQM" u="1"/>
        <s v="Falha no Cadastro do Ativo" u="1"/>
        <s v="Condições Climáticas" u="1"/>
        <s v="Condição Insegura" u="1"/>
        <s v="Equipamento Indisponível p/ Manut." u="1"/>
        <s v="Corretiva Não Planejada" u="1"/>
        <s v="Fornecedor Não Compareceu" u="1"/>
        <s v="Atividade Admistrativa" u="1"/>
        <s v="Treinamento" u="1"/>
        <s v="Sem Justificativa" u="1"/>
        <s v="Falta Equipamento Ensaio" u="1"/>
      </sharedItems>
    </cacheField>
    <cacheField name="Txt. Justificativa" numFmtId="0">
      <sharedItems containsNonDate="0" containsString="0" containsBlank="1"/>
    </cacheField>
    <cacheField name="OS Desvi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753649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s v="MN-AGD  001913/2026"/>
    <s v=""/>
    <s v="GRUPO MOTOR GERADOR"/>
    <x v="0"/>
    <s v="S18"/>
    <s v="SE-AQB"/>
    <s v="GMG"/>
    <x v="0"/>
    <x v="0"/>
    <s v="GMG.00004"/>
    <x v="0"/>
    <s v="29/04/2026 17:00"/>
    <x v="0"/>
    <s v="APR referente a manutenção preventiva GMG semanal - S18"/>
    <s v="56164"/>
    <s v=""/>
    <s v=""/>
    <x v="0"/>
    <x v="0"/>
    <m/>
    <m/>
  </r>
  <r>
    <x v="0"/>
    <x v="0"/>
    <s v="MN-AGD  001989/2026"/>
    <s v=""/>
    <s v="REDE MÉDIA TENSÃO"/>
    <x v="0"/>
    <s v="S19"/>
    <s v="RMT-AMP"/>
    <s v="TRECHO 01"/>
    <x v="1"/>
    <x v="0"/>
    <s v="RMT.00016"/>
    <x v="0"/>
    <s v="08/05/2026 17:00"/>
    <x v="0"/>
    <s v="APR referente a inspeção expedita da Estrutura RMT"/>
    <s v="57782"/>
    <s v=""/>
    <s v=""/>
    <x v="0"/>
    <x v="0"/>
    <m/>
    <m/>
  </r>
  <r>
    <x v="0"/>
    <x v="0"/>
    <s v="MN-AGD  001988/2026"/>
    <s v=""/>
    <s v="EDIFICAÇÃO"/>
    <x v="1"/>
    <s v="S18"/>
    <s v="SE-AQB"/>
    <s v="SLA"/>
    <x v="2"/>
    <x v="1"/>
    <s v="EDC.00062"/>
    <x v="0"/>
    <s v="04/05/2026 10:00"/>
    <x v="0"/>
    <s v="OPA 2026-03-0745 Vazamento de água do ar condicionado. Local: sala de reunião_x000a_"/>
    <s v=""/>
    <s v=""/>
    <s v=""/>
    <x v="0"/>
    <x v="0"/>
    <m/>
    <m/>
  </r>
  <r>
    <x v="0"/>
    <x v="0"/>
    <s v="MN-AGD  001987/2026"/>
    <s v=""/>
    <s v="REDE MÉDIA TENSÃO"/>
    <x v="0"/>
    <s v="S18"/>
    <s v="RMT-AMP"/>
    <s v="RDA"/>
    <x v="3"/>
    <x v="0"/>
    <s v="RMT.00004"/>
    <x v="0"/>
    <s v="04/05/2026 17:00"/>
    <x v="1"/>
    <s v="REALIZAR INSPEÇÃO VISUAL NOS POSTES DA REDE DE AMPARO"/>
    <s v=""/>
    <s v=""/>
    <s v=""/>
    <x v="0"/>
    <x v="0"/>
    <m/>
    <m/>
  </r>
  <r>
    <x v="0"/>
    <x v="0"/>
    <s v="MN-AGD  001985/2026"/>
    <s v=""/>
    <s v="SUBESTAÇÃO"/>
    <x v="1"/>
    <s v="S18"/>
    <s v="SE-AQB"/>
    <s v="SE AQB 1"/>
    <x v="4"/>
    <x v="1"/>
    <s v="SEG.00007"/>
    <x v="0"/>
    <s v="04/05/2026 17:00"/>
    <x v="1"/>
    <s v="Realizar manutenção corretiva nos ar condicionados do prédio Administrativo e SE AQB._x000d__x000a_"/>
    <s v=""/>
    <s v=""/>
    <s v=""/>
    <x v="0"/>
    <x v="0"/>
    <m/>
    <m/>
  </r>
  <r>
    <x v="0"/>
    <x v="0"/>
    <s v="MN-AGD  001982/2026"/>
    <s v=""/>
    <s v="SUBESTAÇÃO UNITÁRIA"/>
    <x v="0"/>
    <s v="S19"/>
    <s v="SU-AQB"/>
    <s v="ESU 06"/>
    <x v="5"/>
    <x v="0"/>
    <s v="ESU.00062"/>
    <x v="1"/>
    <s v="06/05/2026 17:00"/>
    <x v="2"/>
    <s v="APR referente a preventiva e inspeção SU"/>
    <s v="57766"/>
    <s v=""/>
    <s v=""/>
    <x v="0"/>
    <x v="0"/>
    <m/>
    <m/>
  </r>
  <r>
    <x v="0"/>
    <x v="0"/>
    <s v="MN-AGD  001981/2026"/>
    <s v=""/>
    <s v="SUBESTAÇÃO UNITÁRIA"/>
    <x v="0"/>
    <s v="S18"/>
    <s v="SU-AQB"/>
    <s v="ESU 05"/>
    <x v="6"/>
    <x v="0"/>
    <s v="ESU.00061"/>
    <x v="2"/>
    <s v="06/05/2026 12:00"/>
    <x v="2"/>
    <s v="APR referente a preventiva e inspeção SU"/>
    <s v="57765"/>
    <s v=""/>
    <s v=""/>
    <x v="0"/>
    <x v="0"/>
    <m/>
    <m/>
  </r>
  <r>
    <x v="0"/>
    <x v="0"/>
    <s v="MN-AGD  001980/2026"/>
    <s v=""/>
    <s v="GRUPO MOTOR GERADOR"/>
    <x v="0"/>
    <s v="S19"/>
    <s v="SE-AQB"/>
    <s v="GMG"/>
    <x v="0"/>
    <x v="0"/>
    <s v="GMG.00004"/>
    <x v="3"/>
    <s v="07/05/2026 12:00"/>
    <x v="3"/>
    <s v="APR referente a inspeção semanal GMG e inspeção Mensal Casa de comando - S19"/>
    <s v="57783"/>
    <s v=""/>
    <s v=""/>
    <x v="0"/>
    <x v="0"/>
    <m/>
    <m/>
  </r>
  <r>
    <x v="0"/>
    <x v="0"/>
    <s v="MN-AGD  001915/2026"/>
    <s v=""/>
    <s v="SUBESTAÇÃO UNITÁRIA"/>
    <x v="0"/>
    <s v="S19"/>
    <s v="SU-AQB"/>
    <s v="ESU 04"/>
    <x v="7"/>
    <x v="0"/>
    <s v="ESU.00060"/>
    <x v="4"/>
    <s v="05/05/2026 17:00"/>
    <x v="2"/>
    <s v="APR referente a manutenção preventiva da SU AQB 04"/>
    <s v="57764"/>
    <s v=""/>
    <s v=""/>
    <x v="0"/>
    <x v="0"/>
    <m/>
    <m/>
  </r>
  <r>
    <x v="0"/>
    <x v="0"/>
    <s v="MN-AGD  001924/2026"/>
    <s v="11/05/2026 23:59"/>
    <s v="GRUPO MOTOR GERADOR"/>
    <x v="2"/>
    <s v="S19"/>
    <s v="SE-AQB"/>
    <s v="GMG"/>
    <x v="0"/>
    <x v="2"/>
    <s v="GMG.00004"/>
    <x v="3"/>
    <s v="07/05/2026 12:00"/>
    <x v="3"/>
    <s v="INSPEÇÃO"/>
    <s v="57783"/>
    <s v=""/>
    <s v=""/>
    <x v="0"/>
    <x v="0"/>
    <m/>
    <m/>
  </r>
  <r>
    <x v="0"/>
    <x v="0"/>
    <s v="MN-AGD  001725/2026"/>
    <s v=""/>
    <s v="SUBESTAÇÃO UNITÁRIA"/>
    <x v="0"/>
    <s v="S19"/>
    <s v="SU-AQB"/>
    <s v="ESU 03"/>
    <x v="8"/>
    <x v="0"/>
    <s v="ESU.00059"/>
    <x v="5"/>
    <s v="05/05/2026 12:00"/>
    <x v="2"/>
    <s v="APR referente a manutenção preventiva da SU"/>
    <s v="57762"/>
    <s v=""/>
    <s v=""/>
    <x v="0"/>
    <x v="0"/>
    <m/>
    <m/>
  </r>
  <r>
    <x v="0"/>
    <x v="0"/>
    <s v="MN-AGD  001728/2026"/>
    <s v="11/05/2026 23:59"/>
    <s v="CASA DE COMANDO"/>
    <x v="3"/>
    <s v="S19"/>
    <s v="SE-AQB"/>
    <s v="SE AQB 1"/>
    <x v="9"/>
    <x v="3"/>
    <s v="CAS.00006"/>
    <x v="3"/>
    <s v="07/05/2026 12:00"/>
    <x v="3"/>
    <s v="INSPEÇÃO"/>
    <s v="57783"/>
    <s v=""/>
    <s v=""/>
    <x v="0"/>
    <x v="0"/>
    <m/>
    <m/>
  </r>
  <r>
    <x v="0"/>
    <x v="1"/>
    <s v="SW-AGD  001779/2026"/>
    <s v=""/>
    <s v="AEROGERADOR"/>
    <x v="0"/>
    <s v="S19"/>
    <s v="PEOL-AQB"/>
    <s v="WTG 04"/>
    <x v="10"/>
    <x v="0"/>
    <s v="WTG.00137"/>
    <x v="3"/>
    <s v="07/05/2026 17:00"/>
    <x v="4"/>
    <s v="APR referente a preventiva anual WTG (UP TOWER)"/>
    <s v="57672"/>
    <s v=""/>
    <s v=""/>
    <x v="1"/>
    <x v="0"/>
    <m/>
    <m/>
  </r>
  <r>
    <x v="0"/>
    <x v="0"/>
    <s v="MN-AGD  001651/2026"/>
    <s v="23/04/2026 08:00"/>
    <s v="SUBESTAÇÃO UNITÁRIA"/>
    <x v="4"/>
    <s v="S19"/>
    <s v="SU-AQB"/>
    <s v="SU 06"/>
    <x v="11"/>
    <x v="4"/>
    <s v="CUD.00139"/>
    <x v="1"/>
    <s v="06/05/2026 17:00"/>
    <x v="2"/>
    <s v="INSPEÇÃO"/>
    <s v="57766"/>
    <s v="SI   2026/355"/>
    <s v="Em Execução"/>
    <x v="0"/>
    <x v="0"/>
    <m/>
    <m/>
  </r>
  <r>
    <x v="0"/>
    <x v="0"/>
    <s v="MN-AGD  001650/2026"/>
    <s v="23/04/2026 08:00"/>
    <s v="SUBESTAÇÃO UNITÁRIA"/>
    <x v="4"/>
    <s v="S19"/>
    <s v="SU-AQB"/>
    <s v="SU 06"/>
    <x v="11"/>
    <x v="5"/>
    <s v="CUD.00139"/>
    <x v="1"/>
    <s v="06/05/2026 17:00"/>
    <x v="2"/>
    <s v=""/>
    <s v="57766"/>
    <s v="SI   2026/355"/>
    <s v="Em Execução"/>
    <x v="0"/>
    <x v="0"/>
    <m/>
    <m/>
  </r>
  <r>
    <x v="0"/>
    <x v="0"/>
    <s v="MN-AGD  001649/2026"/>
    <s v="23/04/2026 08:00"/>
    <s v="SUBESTAÇÃO UNITÁRIA"/>
    <x v="4"/>
    <s v="S19"/>
    <s v="SU-AQB"/>
    <s v="ESU 06"/>
    <x v="5"/>
    <x v="4"/>
    <s v="ESU.00062"/>
    <x v="1"/>
    <s v="06/05/2026 17:00"/>
    <x v="2"/>
    <s v="INSPEÇÃO"/>
    <s v="57766"/>
    <s v="SI   2026/355"/>
    <s v="Em Execução"/>
    <x v="0"/>
    <x v="0"/>
    <m/>
    <m/>
  </r>
  <r>
    <x v="0"/>
    <x v="0"/>
    <s v="MN-AGD  001646/2026"/>
    <s v="20/04/2026 08:00"/>
    <s v="SUBESTAÇÃO UNITÁRIA"/>
    <x v="4"/>
    <s v="S19"/>
    <s v="SU-AQB"/>
    <s v="ESU 04"/>
    <x v="7"/>
    <x v="4"/>
    <s v="ESU.00060"/>
    <x v="4"/>
    <s v="05/05/2026 17:00"/>
    <x v="2"/>
    <s v="INSPEÇÃO"/>
    <s v="57764"/>
    <s v="SI   2026/355"/>
    <s v="Em Execução"/>
    <x v="0"/>
    <x v="0"/>
    <m/>
    <m/>
  </r>
  <r>
    <x v="0"/>
    <x v="0"/>
    <s v="MN-AGD  001643/2026"/>
    <s v="20/04/2026 08:00"/>
    <s v="SUBESTAÇÃO UNITÁRIA"/>
    <x v="4"/>
    <s v="S19"/>
    <s v="SU-AQB"/>
    <s v="SU 04"/>
    <x v="12"/>
    <x v="4"/>
    <s v="CUD.00137"/>
    <x v="4"/>
    <s v="05/05/2026 17:00"/>
    <x v="2"/>
    <s v="INSPEÇÃO"/>
    <s v="57764"/>
    <s v="SI   2026/355"/>
    <s v="Em Execução"/>
    <x v="0"/>
    <x v="0"/>
    <m/>
    <m/>
  </r>
  <r>
    <x v="0"/>
    <x v="0"/>
    <s v="MN-AGD  001642/2026"/>
    <s v="20/04/2026 08:00"/>
    <s v="SUBESTAÇÃO UNITÁRIA"/>
    <x v="4"/>
    <s v="S19"/>
    <s v="SU-AQB"/>
    <s v="SU 04"/>
    <x v="12"/>
    <x v="5"/>
    <s v="CUD.00137"/>
    <x v="4"/>
    <s v="05/05/2026 17:00"/>
    <x v="2"/>
    <s v=""/>
    <s v="57764"/>
    <s v="SI   2026/355"/>
    <s v="Em Execução"/>
    <x v="0"/>
    <x v="0"/>
    <m/>
    <m/>
  </r>
  <r>
    <x v="0"/>
    <x v="0"/>
    <s v="MN-AGD  001641/2026"/>
    <s v="16/04/2026 08:00"/>
    <s v="SUBESTAÇÃO UNITÁRIA"/>
    <x v="4"/>
    <s v="S19"/>
    <s v="SU-AQB"/>
    <s v="ESU 03"/>
    <x v="8"/>
    <x v="4"/>
    <s v="ESU.00059"/>
    <x v="5"/>
    <s v="05/05/2026 12:00"/>
    <x v="2"/>
    <s v="INSPEÇÃO"/>
    <s v="57762"/>
    <s v="SI   2026/355"/>
    <s v="Em Execução"/>
    <x v="0"/>
    <x v="0"/>
    <m/>
    <m/>
  </r>
  <r>
    <x v="0"/>
    <x v="0"/>
    <s v="MN-AGD  001640/2026"/>
    <s v="16/04/2026 08:00"/>
    <s v="MT TRANSFORMADOR DE FORÇA"/>
    <x v="4"/>
    <s v="S18"/>
    <s v="SU-AQB"/>
    <s v="SU 03"/>
    <x v="13"/>
    <x v="4"/>
    <s v="TFM.00136"/>
    <x v="0"/>
    <s v="28/04/2026 17:00"/>
    <x v="2"/>
    <s v="INSPEÇÃO"/>
    <s v="56202"/>
    <s v="SI   2026/355"/>
    <s v="Em Execução"/>
    <x v="0"/>
    <x v="0"/>
    <m/>
    <m/>
  </r>
  <r>
    <x v="0"/>
    <x v="0"/>
    <s v="MN-AGD  001638/2026"/>
    <s v="16/04/2026 08:00"/>
    <s v="SUBESTAÇÃO UNITÁRIA"/>
    <x v="4"/>
    <s v="S18"/>
    <s v="SU-AQB"/>
    <s v="SU 03"/>
    <x v="13"/>
    <x v="4"/>
    <s v="CUD.00136"/>
    <x v="5"/>
    <s v="05/05/2026 12:00"/>
    <x v="2"/>
    <s v="INSPEÇÃO"/>
    <s v="57762"/>
    <s v="SI   2026/355"/>
    <s v="Em Execução"/>
    <x v="0"/>
    <x v="0"/>
    <m/>
    <m/>
  </r>
  <r>
    <x v="0"/>
    <x v="0"/>
    <s v="MN-AGD  001639/2026"/>
    <s v="16/04/2026 08:00"/>
    <s v="MT TRANSFORMADOR DE FORÇA"/>
    <x v="4"/>
    <s v="S18"/>
    <s v="SU-AQB"/>
    <s v="SU 03"/>
    <x v="13"/>
    <x v="5"/>
    <s v="TFM.00136"/>
    <x v="0"/>
    <s v="28/04/2026 17:00"/>
    <x v="2"/>
    <s v=""/>
    <s v="56202"/>
    <s v="SI   2026/355"/>
    <s v="Em Execução"/>
    <x v="0"/>
    <x v="0"/>
    <m/>
    <m/>
  </r>
  <r>
    <x v="0"/>
    <x v="0"/>
    <s v="MN-AGD  001637/2026"/>
    <s v="16/04/2026 08:00"/>
    <s v="SUBESTAÇÃO UNITÁRIA"/>
    <x v="4"/>
    <s v="S19"/>
    <s v="SU-AQB"/>
    <s v="SU 03"/>
    <x v="13"/>
    <x v="5"/>
    <s v="CUD.00136"/>
    <x v="5"/>
    <s v="05/05/2026 12:00"/>
    <x v="2"/>
    <s v=""/>
    <s v="57762"/>
    <s v="SI   2026/355"/>
    <s v="Em Execução"/>
    <x v="0"/>
    <x v="0"/>
    <m/>
    <m/>
  </r>
  <r>
    <x v="0"/>
    <x v="0"/>
    <s v="MN-AGD  000959/2026"/>
    <s v="21/04/2026 23:59"/>
    <s v="MT TRANSFORMADOR DE FORÇA"/>
    <x v="4"/>
    <s v="S19"/>
    <s v="SU-AQB"/>
    <s v="SU 05"/>
    <x v="14"/>
    <x v="4"/>
    <s v="TFM.00138"/>
    <x v="0"/>
    <s v="04/05/2026 12:00"/>
    <x v="2"/>
    <s v="INSPEÇÃO"/>
    <s v="57676"/>
    <s v="SI   2026/355"/>
    <s v="Em Execução"/>
    <x v="0"/>
    <x v="0"/>
    <m/>
    <m/>
  </r>
  <r>
    <x v="0"/>
    <x v="0"/>
    <s v="MN-AGD  000958/2026"/>
    <s v="21/04/2026 23:59"/>
    <s v="SUBESTAÇÃO UNITÁRIA"/>
    <x v="4"/>
    <s v="S19"/>
    <s v="SU-AQB"/>
    <s v="ESU 05"/>
    <x v="6"/>
    <x v="4"/>
    <s v="ESU.00061"/>
    <x v="2"/>
    <s v="06/05/2026 12:00"/>
    <x v="2"/>
    <s v="INSPEÇÃO"/>
    <s v="57765"/>
    <s v="SI   2026/355"/>
    <s v="Em Execução"/>
    <x v="0"/>
    <x v="0"/>
    <m/>
    <m/>
  </r>
  <r>
    <x v="0"/>
    <x v="0"/>
    <s v="MN-AGD  000960/2026"/>
    <s v="21/04/2026 23:59"/>
    <s v="MT TRANSFORMADOR DE FORÇA"/>
    <x v="4"/>
    <s v="S19"/>
    <s v="SU-AQB"/>
    <s v="SU 05"/>
    <x v="14"/>
    <x v="5"/>
    <s v="TFM.00138"/>
    <x v="0"/>
    <s v="04/05/2026 12:00"/>
    <x v="2"/>
    <s v=""/>
    <s v="57676"/>
    <s v="SI   2026/355"/>
    <s v="Em Execução"/>
    <x v="0"/>
    <x v="0"/>
    <m/>
    <m/>
  </r>
  <r>
    <x v="0"/>
    <x v="0"/>
    <s v="MN-AGD  000956/2026"/>
    <s v="21/04/2026 23:59"/>
    <s v="SUBESTAÇÃO UNITÁRIA"/>
    <x v="4"/>
    <s v="S18"/>
    <s v="SU-AQB"/>
    <s v="SU 05"/>
    <x v="14"/>
    <x v="4"/>
    <s v="CUD.00138"/>
    <x v="2"/>
    <s v="06/05/2026 12:00"/>
    <x v="2"/>
    <s v="INSPEÇÃO"/>
    <s v="57765"/>
    <s v="SI   2026/355"/>
    <s v="Em Execução"/>
    <x v="0"/>
    <x v="0"/>
    <m/>
    <m/>
  </r>
  <r>
    <x v="0"/>
    <x v="0"/>
    <s v="MN-AGD  000957/2026"/>
    <s v="21/04/2026 23:59"/>
    <s v="SUBESTAÇÃO UNITÁRIA"/>
    <x v="4"/>
    <s v="S18"/>
    <s v="SU-AQB"/>
    <s v="SU 05"/>
    <x v="14"/>
    <x v="5"/>
    <s v="CUD.00138"/>
    <x v="2"/>
    <s v="06/05/2026 12:00"/>
    <x v="2"/>
    <s v=""/>
    <s v="57765"/>
    <s v="SI   2026/355"/>
    <s v="Em Execução"/>
    <x v="0"/>
    <x v="0"/>
    <m/>
    <m/>
  </r>
  <r>
    <x v="0"/>
    <x v="0"/>
    <s v="MN-AGD  000794/2026"/>
    <s v="13/04/2026 23:59"/>
    <s v="ESTRUTURA RMT"/>
    <x v="5"/>
    <s v="S18"/>
    <s v="RMT-AMP"/>
    <s v="AMP-P389"/>
    <x v="15"/>
    <x v="6"/>
    <s v="EMT.01735"/>
    <x v="0"/>
    <s v="04/05/2026 17:00"/>
    <x v="1"/>
    <s v="INSPEÇÃO"/>
    <s v="57725"/>
    <s v=""/>
    <s v=""/>
    <x v="0"/>
    <x v="0"/>
    <m/>
    <m/>
  </r>
  <r>
    <x v="0"/>
    <x v="0"/>
    <s v="MN-AGD  000793/2026"/>
    <s v="13/04/2026 23:59"/>
    <s v="ESTRUTURA RMT"/>
    <x v="5"/>
    <s v="S18"/>
    <s v="RMT-AMP"/>
    <s v="AMP-P387"/>
    <x v="16"/>
    <x v="6"/>
    <s v="EMT.01733"/>
    <x v="0"/>
    <s v="04/05/2026 17:00"/>
    <x v="1"/>
    <s v="INSPEÇÃO"/>
    <s v="57725"/>
    <s v=""/>
    <s v=""/>
    <x v="0"/>
    <x v="0"/>
    <m/>
    <m/>
  </r>
  <r>
    <x v="0"/>
    <x v="0"/>
    <s v="MN-AGD  000792/2026"/>
    <s v="13/04/2026 23:59"/>
    <s v="ESTRUTURA RMT"/>
    <x v="5"/>
    <s v="S18"/>
    <s v="RMT-AMP"/>
    <s v="AMP-P382"/>
    <x v="17"/>
    <x v="6"/>
    <s v="EMT.01728"/>
    <x v="0"/>
    <s v="04/05/2026 17:00"/>
    <x v="1"/>
    <s v="INSPEÇÃO"/>
    <s v="57725"/>
    <s v=""/>
    <s v=""/>
    <x v="0"/>
    <x v="0"/>
    <m/>
    <m/>
  </r>
  <r>
    <x v="0"/>
    <x v="0"/>
    <s v="MN-AGD  000575/2026"/>
    <s v="06/04/2026 23:59"/>
    <s v="ESTRUTURA RMT"/>
    <x v="5"/>
    <s v="S18"/>
    <s v="RMT-AMP"/>
    <s v="AMP-P352"/>
    <x v="18"/>
    <x v="6"/>
    <s v="EMT.01484"/>
    <x v="0"/>
    <s v="04/05/2026 17:00"/>
    <x v="1"/>
    <s v="INSPEÇÃO"/>
    <s v="57725"/>
    <s v=""/>
    <s v=""/>
    <x v="0"/>
    <x v="0"/>
    <m/>
    <m/>
  </r>
  <r>
    <x v="0"/>
    <x v="0"/>
    <s v="MN-AGD  000576/2026"/>
    <s v="06/04/2026 23:59"/>
    <s v="ESTRUTURA RMT"/>
    <x v="5"/>
    <s v="S18"/>
    <s v="RMT-AMP"/>
    <s v="AMP-P292"/>
    <x v="19"/>
    <x v="6"/>
    <s v="EMT.01494"/>
    <x v="0"/>
    <s v="04/05/2026 17:00"/>
    <x v="1"/>
    <s v="INSPEÇÃO"/>
    <s v="57725"/>
    <s v=""/>
    <s v=""/>
    <x v="0"/>
    <x v="0"/>
    <m/>
    <m/>
  </r>
  <r>
    <x v="0"/>
    <x v="0"/>
    <s v="MN-AGD  000577/2026"/>
    <s v="06/04/2026 23:59"/>
    <s v="ESTRUTURA RMT"/>
    <x v="5"/>
    <s v="S18"/>
    <s v="RMT-AMP"/>
    <s v="AMP-P307"/>
    <x v="20"/>
    <x v="6"/>
    <s v="EMT.01509"/>
    <x v="0"/>
    <s v="04/05/2026 17:00"/>
    <x v="1"/>
    <s v="INSPEÇÃO"/>
    <s v="57725"/>
    <s v=""/>
    <s v=""/>
    <x v="0"/>
    <x v="0"/>
    <m/>
    <m/>
  </r>
  <r>
    <x v="0"/>
    <x v="0"/>
    <s v="MN-AGD  000578/2026"/>
    <s v="06/04/2026 23:59"/>
    <s v="ESTRUTURA RMT"/>
    <x v="5"/>
    <s v="S18"/>
    <s v="RMT-AMP"/>
    <s v="AMP-P358"/>
    <x v="21"/>
    <x v="6"/>
    <s v="EMT.01704"/>
    <x v="0"/>
    <s v="04/05/2026 17:00"/>
    <x v="1"/>
    <s v="INSPEÇÃO"/>
    <s v="57725"/>
    <s v=""/>
    <s v=""/>
    <x v="0"/>
    <x v="0"/>
    <m/>
    <m/>
  </r>
  <r>
    <x v="0"/>
    <x v="0"/>
    <s v="MN-AGD  000579/2026"/>
    <s v="06/04/2026 23:59"/>
    <s v="ESTRUTURA RMT"/>
    <x v="5"/>
    <s v="S18"/>
    <s v="RMT-AMP"/>
    <s v="AMP-P359"/>
    <x v="22"/>
    <x v="6"/>
    <s v="EMT.01705"/>
    <x v="0"/>
    <s v="04/05/2026 17:00"/>
    <x v="1"/>
    <s v="INSPEÇÃO"/>
    <s v="57725"/>
    <s v=""/>
    <s v=""/>
    <x v="0"/>
    <x v="0"/>
    <m/>
    <m/>
  </r>
  <r>
    <x v="0"/>
    <x v="0"/>
    <s v="MN-AGD  000580/2026"/>
    <s v="06/04/2026 23:59"/>
    <s v="ESTRUTURA RMT"/>
    <x v="5"/>
    <s v="S18"/>
    <s v="RMT-AMP"/>
    <s v="AMP-P362"/>
    <x v="23"/>
    <x v="6"/>
    <s v="EMT.01708"/>
    <x v="0"/>
    <s v="04/05/2026 17:00"/>
    <x v="1"/>
    <s v="INSPEÇÃO"/>
    <s v="57725"/>
    <s v=""/>
    <s v=""/>
    <x v="0"/>
    <x v="0"/>
    <m/>
    <m/>
  </r>
  <r>
    <x v="0"/>
    <x v="0"/>
    <s v="MN-AGD  000581/2026"/>
    <s v="06/04/2026 23:59"/>
    <s v="ESTRUTURA RMT"/>
    <x v="5"/>
    <s v="S18"/>
    <s v="RMT-AMP"/>
    <s v="AMP-P363"/>
    <x v="24"/>
    <x v="6"/>
    <s v="EMT.01709"/>
    <x v="0"/>
    <s v="04/05/2026 17:00"/>
    <x v="1"/>
    <s v="INSPEÇÃO"/>
    <s v="57725"/>
    <s v=""/>
    <s v=""/>
    <x v="0"/>
    <x v="0"/>
    <m/>
    <m/>
  </r>
  <r>
    <x v="0"/>
    <x v="0"/>
    <s v="MN-AGD  000582/2026"/>
    <s v="06/04/2026 23:59"/>
    <s v="ESTRUTURA RMT"/>
    <x v="5"/>
    <s v="S18"/>
    <s v="RMT-AMP"/>
    <s v="AMP-P365"/>
    <x v="25"/>
    <x v="6"/>
    <s v="EMT.01711"/>
    <x v="0"/>
    <s v="04/05/2026 17:00"/>
    <x v="1"/>
    <s v="INSPEÇÃO"/>
    <s v="57725"/>
    <s v=""/>
    <s v=""/>
    <x v="0"/>
    <x v="0"/>
    <m/>
    <m/>
  </r>
  <r>
    <x v="0"/>
    <x v="0"/>
    <s v="MN-AGD  000583/2026"/>
    <s v="06/04/2026 23:59"/>
    <s v="ESTRUTURA RMT"/>
    <x v="5"/>
    <s v="S19"/>
    <s v="RMT-AMP"/>
    <s v="AMP-P371"/>
    <x v="26"/>
    <x v="6"/>
    <s v="EMT.01717"/>
    <x v="0"/>
    <s v="04/05/2026 17:00"/>
    <x v="1"/>
    <s v="INSPEÇÃO"/>
    <s v="57725"/>
    <s v=""/>
    <s v=""/>
    <x v="0"/>
    <x v="0"/>
    <m/>
    <m/>
  </r>
  <r>
    <x v="0"/>
    <x v="0"/>
    <s v="MN-AGD  000584/2026"/>
    <s v="06/04/2026 23:59"/>
    <s v="ESTRUTURA RMT"/>
    <x v="5"/>
    <s v="S19"/>
    <s v="RMT-AMP"/>
    <s v="AMP-P381"/>
    <x v="27"/>
    <x v="6"/>
    <s v="EMT.01727"/>
    <x v="0"/>
    <s v="04/05/2026 17:00"/>
    <x v="1"/>
    <s v="INSPEÇÃO"/>
    <s v="57725"/>
    <s v=""/>
    <s v=""/>
    <x v="0"/>
    <x v="0"/>
    <m/>
    <m/>
  </r>
  <r>
    <x v="0"/>
    <x v="0"/>
    <s v="MN-AGD  000585/2026"/>
    <s v="06/04/2026 23:59"/>
    <s v="ESTRUTURA RMT"/>
    <x v="5"/>
    <s v="S18"/>
    <s v="RMT-AMP"/>
    <s v="AMP-P394"/>
    <x v="28"/>
    <x v="6"/>
    <s v="EMT.01740"/>
    <x v="0"/>
    <s v="04/05/2026 17:00"/>
    <x v="1"/>
    <s v="INSPEÇÃO"/>
    <s v="57725"/>
    <s v=""/>
    <s v=""/>
    <x v="0"/>
    <x v="0"/>
    <m/>
    <m/>
  </r>
  <r>
    <x v="0"/>
    <x v="0"/>
    <s v="MN-AGD  000586/2026"/>
    <s v="06/04/2026 23:59"/>
    <s v="ESTRUTURA RMT"/>
    <x v="5"/>
    <s v="S18"/>
    <s v="RMT-AMP"/>
    <s v="AMP-P396"/>
    <x v="29"/>
    <x v="6"/>
    <s v="EMT.01742"/>
    <x v="0"/>
    <s v="04/05/2026 17:00"/>
    <x v="1"/>
    <s v="INSPEÇÃO"/>
    <s v="57725"/>
    <s v=""/>
    <s v=""/>
    <x v="0"/>
    <x v="0"/>
    <m/>
    <m/>
  </r>
  <r>
    <x v="0"/>
    <x v="0"/>
    <s v="MN-AGD  000587/2026"/>
    <s v="06/04/2026 23:59"/>
    <s v="ESTRUTURA RMT"/>
    <x v="5"/>
    <s v="S19"/>
    <s v="RMT-AMP"/>
    <s v="AMP-P397"/>
    <x v="30"/>
    <x v="6"/>
    <s v="EMT.01743"/>
    <x v="0"/>
    <s v="04/05/2026 17:00"/>
    <x v="1"/>
    <s v="INSPEÇÃO"/>
    <s v="57725"/>
    <s v=""/>
    <s v=""/>
    <x v="0"/>
    <x v="0"/>
    <m/>
    <m/>
  </r>
  <r>
    <x v="0"/>
    <x v="0"/>
    <s v="MN-AGD  000588/2026"/>
    <s v="06/04/2026 23:59"/>
    <s v="ESTRUTURA RMT"/>
    <x v="5"/>
    <s v="S18"/>
    <s v="RMT-AMP"/>
    <s v="AMP-P398"/>
    <x v="31"/>
    <x v="6"/>
    <s v="EMT.01744"/>
    <x v="0"/>
    <s v="04/05/2026 17:00"/>
    <x v="1"/>
    <s v="INSPEÇÃO"/>
    <s v="57725"/>
    <s v=""/>
    <s v=""/>
    <x v="0"/>
    <x v="0"/>
    <m/>
    <m/>
  </r>
  <r>
    <x v="0"/>
    <x v="0"/>
    <s v="MN-AGD  000565/2026"/>
    <s v="06/04/2026 23:59"/>
    <s v="ESTRUTURA RMT"/>
    <x v="5"/>
    <s v="S18"/>
    <s v="RMT-AMP"/>
    <s v="AMP-P159"/>
    <x v="32"/>
    <x v="6"/>
    <s v="EMT.01302"/>
    <x v="0"/>
    <s v="08/05/2026 17:00"/>
    <x v="0"/>
    <s v="INSPEÇÃO"/>
    <s v="57782"/>
    <s v=""/>
    <s v=""/>
    <x v="0"/>
    <x v="0"/>
    <m/>
    <m/>
  </r>
  <r>
    <x v="0"/>
    <x v="0"/>
    <s v="MN-AGD  000566/2026"/>
    <s v="06/04/2026 23:59"/>
    <s v="ESTRUTURA RMT"/>
    <x v="5"/>
    <s v="S18"/>
    <s v="RMT-AMP"/>
    <s v="AMP-P160"/>
    <x v="33"/>
    <x v="6"/>
    <s v="EMT.01303"/>
    <x v="0"/>
    <s v="08/05/2026 17:00"/>
    <x v="0"/>
    <s v="INSPEÇÃO"/>
    <s v="57782"/>
    <s v=""/>
    <s v=""/>
    <x v="0"/>
    <x v="0"/>
    <m/>
    <m/>
  </r>
  <r>
    <x v="0"/>
    <x v="0"/>
    <s v="MN-AGD  000559/2026"/>
    <s v="06/04/2026 23:59"/>
    <s v="ESTRUTURA RMT"/>
    <x v="5"/>
    <s v="S19"/>
    <s v="RMT-AMP"/>
    <s v="AMP-P048"/>
    <x v="34"/>
    <x v="6"/>
    <s v="EMT.01191"/>
    <x v="0"/>
    <s v="08/05/2026 17:00"/>
    <x v="0"/>
    <s v="INSPEÇÃO"/>
    <s v="57782"/>
    <s v=""/>
    <s v=""/>
    <x v="0"/>
    <x v="0"/>
    <m/>
    <m/>
  </r>
  <r>
    <x v="0"/>
    <x v="0"/>
    <s v="MN-AGD  000560/2026"/>
    <s v="06/04/2026 23:59"/>
    <s v="ESTRUTURA RMT"/>
    <x v="5"/>
    <s v="S18"/>
    <s v="RMT-AMP"/>
    <s v="AMP-P095"/>
    <x v="35"/>
    <x v="6"/>
    <s v="EMT.01238"/>
    <x v="0"/>
    <s v="08/05/2026 17:00"/>
    <x v="0"/>
    <s v="INSPEÇÃO"/>
    <s v="57782"/>
    <s v=""/>
    <s v=""/>
    <x v="0"/>
    <x v="0"/>
    <m/>
    <m/>
  </r>
  <r>
    <x v="0"/>
    <x v="0"/>
    <s v="MN-AGD  000561/2026"/>
    <s v="06/04/2026 23:59"/>
    <s v="ESTRUTURA RMT"/>
    <x v="5"/>
    <s v="S18"/>
    <s v="RMT-AMP"/>
    <s v="AMP-P096"/>
    <x v="36"/>
    <x v="6"/>
    <s v="EMT.01239"/>
    <x v="0"/>
    <s v="08/05/2026 17:00"/>
    <x v="0"/>
    <s v="INSPEÇÃO"/>
    <s v="57782"/>
    <s v=""/>
    <s v=""/>
    <x v="0"/>
    <x v="0"/>
    <m/>
    <m/>
  </r>
  <r>
    <x v="0"/>
    <x v="0"/>
    <s v="MN-AGD  000567/2026"/>
    <s v="06/04/2026 23:59"/>
    <s v="ESTRUTURA RMT"/>
    <x v="5"/>
    <s v="S19"/>
    <s v="RMT-AMP"/>
    <s v="AMP-P211"/>
    <x v="37"/>
    <x v="6"/>
    <s v="EMT.01374"/>
    <x v="0"/>
    <s v="04/05/2026 17:00"/>
    <x v="1"/>
    <s v="INSPEÇÃO"/>
    <s v="57725"/>
    <s v=""/>
    <s v=""/>
    <x v="0"/>
    <x v="0"/>
    <m/>
    <m/>
  </r>
  <r>
    <x v="0"/>
    <x v="0"/>
    <s v="MN-AGD  000568/2026"/>
    <s v="06/04/2026 23:59"/>
    <s v="ESTRUTURA RMT"/>
    <x v="5"/>
    <s v="S18"/>
    <s v="RMT-AMP"/>
    <s v="AMP-P235"/>
    <x v="38"/>
    <x v="6"/>
    <s v="EMT.01398"/>
    <x v="0"/>
    <s v="04/05/2026 17:00"/>
    <x v="1"/>
    <s v="INSPEÇÃO"/>
    <s v="57725"/>
    <s v=""/>
    <s v=""/>
    <x v="0"/>
    <x v="0"/>
    <m/>
    <m/>
  </r>
  <r>
    <x v="0"/>
    <x v="0"/>
    <s v="MN-AGD  000570/2026"/>
    <s v="06/04/2026 23:59"/>
    <s v="ESTRUTURA RMT"/>
    <x v="5"/>
    <s v="S18"/>
    <s v="RMT-AMP"/>
    <s v="AMP-P255"/>
    <x v="39"/>
    <x v="6"/>
    <s v="EMT.01418"/>
    <x v="0"/>
    <s v="04/05/2026 17:00"/>
    <x v="1"/>
    <s v="INSPEÇÃO"/>
    <s v="57725"/>
    <s v=""/>
    <s v=""/>
    <x v="0"/>
    <x v="0"/>
    <m/>
    <m/>
  </r>
  <r>
    <x v="0"/>
    <x v="0"/>
    <s v="MN-AGD  000571/2026"/>
    <s v="06/04/2026 23:59"/>
    <s v="ESTRUTURA RMT"/>
    <x v="5"/>
    <s v="S18"/>
    <s v="RMT-AMP"/>
    <s v="AMP-P268"/>
    <x v="40"/>
    <x v="6"/>
    <s v="EMT.01431"/>
    <x v="0"/>
    <s v="04/05/2026 17:00"/>
    <x v="1"/>
    <s v="INSPEÇÃO"/>
    <s v="57725"/>
    <s v=""/>
    <s v=""/>
    <x v="0"/>
    <x v="0"/>
    <m/>
    <m/>
  </r>
  <r>
    <x v="0"/>
    <x v="0"/>
    <s v="MN-AGD  000562/2026"/>
    <s v="06/04/2026 23:59"/>
    <s v="ESTRUTURA RMT"/>
    <x v="5"/>
    <s v="S19"/>
    <s v="RMT-AMP"/>
    <s v="AMP-P118"/>
    <x v="41"/>
    <x v="6"/>
    <s v="EMT.01261"/>
    <x v="0"/>
    <s v="08/05/2026 17:00"/>
    <x v="0"/>
    <s v="INSPEÇÃO"/>
    <s v="57782"/>
    <s v=""/>
    <s v=""/>
    <x v="0"/>
    <x v="0"/>
    <m/>
    <m/>
  </r>
  <r>
    <x v="0"/>
    <x v="0"/>
    <s v="MN-AGD  000563/2026"/>
    <s v="06/04/2026 23:59"/>
    <s v="ESTRUTURA RMT"/>
    <x v="5"/>
    <s v="S19"/>
    <s v="RMT-AMP"/>
    <s v="AMP-P144"/>
    <x v="42"/>
    <x v="6"/>
    <s v="EMT.01287"/>
    <x v="0"/>
    <s v="08/05/2026 17:00"/>
    <x v="0"/>
    <s v="INSPEÇÃO"/>
    <s v="57782"/>
    <s v=""/>
    <s v=""/>
    <x v="0"/>
    <x v="0"/>
    <m/>
    <m/>
  </r>
  <r>
    <x v="0"/>
    <x v="0"/>
    <s v="MN-AGD  000572/2026"/>
    <s v="06/04/2026 23:59"/>
    <s v="ESTRUTURA RMT"/>
    <x v="5"/>
    <s v="S19"/>
    <s v="RMT-AMP"/>
    <s v="AMP-P323"/>
    <x v="43"/>
    <x v="6"/>
    <s v="EMT.01453"/>
    <x v="0"/>
    <s v="04/05/2026 17:00"/>
    <x v="1"/>
    <s v="INSPEÇÃO"/>
    <s v="57725"/>
    <s v=""/>
    <s v=""/>
    <x v="0"/>
    <x v="0"/>
    <m/>
    <m/>
  </r>
  <r>
    <x v="0"/>
    <x v="0"/>
    <s v="MN-AGD  000573/2026"/>
    <s v="06/04/2026 23:59"/>
    <s v="ESTRUTURA RMT"/>
    <x v="5"/>
    <s v="S19"/>
    <s v="RMT-AMP"/>
    <s v="AMP-P331"/>
    <x v="44"/>
    <x v="6"/>
    <s v="EMT.01461"/>
    <x v="0"/>
    <s v="04/05/2026 17:00"/>
    <x v="1"/>
    <s v="INSPEÇÃO"/>
    <s v="57725"/>
    <s v=""/>
    <s v=""/>
    <x v="0"/>
    <x v="0"/>
    <m/>
    <m/>
  </r>
  <r>
    <x v="0"/>
    <x v="0"/>
    <s v="MN-AGD  000574/2026"/>
    <s v="06/04/2026 23:59"/>
    <s v="ESTRUTURA RMT"/>
    <x v="5"/>
    <s v="S18"/>
    <s v="RMT-AMP"/>
    <s v="AMP-P338"/>
    <x v="45"/>
    <x v="6"/>
    <s v="EMT.01468"/>
    <x v="0"/>
    <s v="04/05/2026 17:00"/>
    <x v="1"/>
    <s v="INSPEÇÃO"/>
    <s v="57725"/>
    <s v=""/>
    <s v=""/>
    <x v="0"/>
    <x v="0"/>
    <m/>
    <m/>
  </r>
  <r>
    <x v="0"/>
    <x v="0"/>
    <s v="MN-AGD  000569/2026"/>
    <s v="06/04/2026 23:59"/>
    <s v="ESTRUTURA RMT"/>
    <x v="5"/>
    <s v="S18"/>
    <s v="RMT-AMP"/>
    <s v="AMP-P254"/>
    <x v="46"/>
    <x v="6"/>
    <s v="EMT.01417"/>
    <x v="0"/>
    <s v="04/05/2026 17:00"/>
    <x v="1"/>
    <s v="INSPEÇÃO"/>
    <s v="57725"/>
    <s v=""/>
    <s v=""/>
    <x v="0"/>
    <x v="0"/>
    <m/>
    <m/>
  </r>
  <r>
    <x v="0"/>
    <x v="0"/>
    <s v="MN-AGD  000564/2026"/>
    <s v="06/04/2026 23:59"/>
    <s v="ESTRUTURA RMT"/>
    <x v="5"/>
    <s v="S18"/>
    <s v="RMT-AMP"/>
    <s v="AMP-P145"/>
    <x v="47"/>
    <x v="6"/>
    <s v="EMT.01288"/>
    <x v="0"/>
    <s v="08/05/2026 17:00"/>
    <x v="0"/>
    <s v="INSPEÇÃO"/>
    <s v="57782"/>
    <s v=""/>
    <s v=""/>
    <x v="0"/>
    <x v="0"/>
    <m/>
    <m/>
  </r>
  <r>
    <x v="0"/>
    <x v="0"/>
    <s v="MN-AGD  000558/2026"/>
    <s v="06/04/2026 23:59"/>
    <s v="ESTRUTURA RMT"/>
    <x v="5"/>
    <s v="S18"/>
    <s v="RMT-AMP"/>
    <s v="AMP-P047"/>
    <x v="48"/>
    <x v="6"/>
    <s v="EMT.01190"/>
    <x v="0"/>
    <s v="08/05/2026 17:00"/>
    <x v="0"/>
    <s v="INSPEÇÃO"/>
    <s v="57782"/>
    <s v=""/>
    <s v=""/>
    <x v="0"/>
    <x v="0"/>
    <m/>
    <m/>
  </r>
  <r>
    <x v="0"/>
    <x v="0"/>
    <s v="MN-AGD  000557/2026"/>
    <s v="06/04/2026 23:59"/>
    <s v="ESTRUTURA RMT"/>
    <x v="5"/>
    <s v="S18"/>
    <s v="RMT-AMP"/>
    <s v="AMP-P024"/>
    <x v="49"/>
    <x v="6"/>
    <s v="EMT.01167"/>
    <x v="0"/>
    <s v="08/05/2026 17:00"/>
    <x v="0"/>
    <s v="INSPEÇÃO"/>
    <s v="57782"/>
    <s v=""/>
    <s v=""/>
    <x v="0"/>
    <x v="0"/>
    <m/>
    <m/>
  </r>
  <r>
    <x v="0"/>
    <x v="0"/>
    <s v="MN-AGD  000548/2026"/>
    <s v="06/04/2026 23:59"/>
    <s v="ESTRUTURA RMT"/>
    <x v="5"/>
    <s v="S18"/>
    <s v="RMT-AMP"/>
    <s v="AMP-P001"/>
    <x v="50"/>
    <x v="6"/>
    <s v="EMT.01144"/>
    <x v="0"/>
    <s v="08/05/2026 17:00"/>
    <x v="0"/>
    <s v="INSPEÇÃO"/>
    <s v="57782"/>
    <s v=""/>
    <s v=""/>
    <x v="0"/>
    <x v="0"/>
    <m/>
    <m/>
  </r>
  <r>
    <x v="0"/>
    <x v="2"/>
    <s v="QLW-AGD  000558/2026"/>
    <s v="13/04/2026 08:00"/>
    <s v="TORRE WTG"/>
    <x v="6"/>
    <s v="S18"/>
    <s v="PEOL-AQB"/>
    <s v="WTG 01"/>
    <x v="51"/>
    <x v="7"/>
    <s v="TOR.00057"/>
    <x v="0"/>
    <s v="04/05/2026 17:00"/>
    <x v="5"/>
    <s v=""/>
    <s v="57674"/>
    <s v=""/>
    <s v=""/>
    <x v="0"/>
    <x v="0"/>
    <m/>
    <m/>
  </r>
  <r>
    <x v="0"/>
    <x v="2"/>
    <s v="QLW-AGD  000559/2026"/>
    <s v="13/04/2026 08:00"/>
    <s v="SISTEMA PITCH"/>
    <x v="6"/>
    <s v="S18"/>
    <s v="PEOL-AQB"/>
    <s v="WTG 01"/>
    <x v="51"/>
    <x v="7"/>
    <s v="SPT.00057"/>
    <x v="0"/>
    <s v="04/05/2026 17:00"/>
    <x v="5"/>
    <s v=""/>
    <s v="57674"/>
    <s v=""/>
    <s v=""/>
    <x v="0"/>
    <x v="0"/>
    <m/>
    <m/>
  </r>
  <r>
    <x v="0"/>
    <x v="2"/>
    <s v="QLW-AGD  000556/2026"/>
    <s v="13/04/2026 08:00"/>
    <s v="NACELLE"/>
    <x v="6"/>
    <s v="S19"/>
    <s v="PEOL-AQB"/>
    <s v="WTG 01"/>
    <x v="51"/>
    <x v="7"/>
    <s v="NAC.00057"/>
    <x v="0"/>
    <s v="04/05/2026 17:00"/>
    <x v="5"/>
    <s v=""/>
    <s v="57674"/>
    <s v=""/>
    <s v=""/>
    <x v="1"/>
    <x v="0"/>
    <m/>
    <m/>
  </r>
  <r>
    <x v="0"/>
    <x v="2"/>
    <s v="QLW-AGD  000557/2026"/>
    <s v="13/04/2026 08:00"/>
    <s v="GERADOR"/>
    <x v="6"/>
    <s v="S19"/>
    <s v="PEOL-AQB"/>
    <s v="WTG 01"/>
    <x v="51"/>
    <x v="7"/>
    <s v="GER.00057"/>
    <x v="0"/>
    <s v="04/05/2026 17:00"/>
    <x v="5"/>
    <s v=""/>
    <s v="57674"/>
    <s v=""/>
    <s v=""/>
    <x v="1"/>
    <x v="0"/>
    <m/>
    <m/>
  </r>
  <r>
    <x v="0"/>
    <x v="2"/>
    <s v="QLW-AGD  000555/2026"/>
    <s v="13/04/2026 08:00"/>
    <s v="AEROGERADOR"/>
    <x v="6"/>
    <s v="S19"/>
    <s v="PEOL-AQB"/>
    <s v="WTG 01"/>
    <x v="51"/>
    <x v="8"/>
    <s v="WTG.00134"/>
    <x v="0"/>
    <s v="04/05/2026 17:00"/>
    <x v="5"/>
    <s v=""/>
    <s v="57674"/>
    <s v=""/>
    <s v=""/>
    <x v="1"/>
    <x v="0"/>
    <m/>
    <m/>
  </r>
  <r>
    <x v="0"/>
    <x v="1"/>
    <s v="SW-AGD  001778/2026"/>
    <s v=""/>
    <s v="AEROGERADOR"/>
    <x v="0"/>
    <s v="S19"/>
    <s v="PEOL-AQB"/>
    <s v="WTG 03"/>
    <x v="52"/>
    <x v="0"/>
    <s v="WTG.00136"/>
    <x v="2"/>
    <s v="06/05/2026 17:00"/>
    <x v="4"/>
    <s v="APR referente a preventiva anual WTG (UP TOWER)"/>
    <s v="57671"/>
    <s v=""/>
    <s v=""/>
    <x v="1"/>
    <x v="0"/>
    <m/>
    <m/>
  </r>
  <r>
    <x v="0"/>
    <x v="1"/>
    <s v="SW-AGD  001777/2026"/>
    <s v=""/>
    <s v="AEROGERADOR"/>
    <x v="0"/>
    <s v="S19"/>
    <s v="PEOL-AQB"/>
    <s v="WTG 02"/>
    <x v="53"/>
    <x v="0"/>
    <s v="WTG.00135"/>
    <x v="5"/>
    <s v="05/05/2026 17:00"/>
    <x v="4"/>
    <s v="APR referente a preventiva anual WTG (UP TOWER)"/>
    <s v="57670"/>
    <s v=""/>
    <s v=""/>
    <x v="1"/>
    <x v="0"/>
    <m/>
    <m/>
  </r>
  <r>
    <x v="0"/>
    <x v="1"/>
    <s v="SW-AGD  001776/2026"/>
    <s v=""/>
    <s v="AEROGERADOR"/>
    <x v="0"/>
    <s v="S19"/>
    <s v="PEOL-AQB"/>
    <s v="WTG 01"/>
    <x v="51"/>
    <x v="0"/>
    <s v="WTG.00134"/>
    <x v="0"/>
    <s v="04/05/2026 17:00"/>
    <x v="4"/>
    <s v="APR referente a preventiva anual WTG (UP TOWER)"/>
    <s v="57669"/>
    <s v=""/>
    <s v=""/>
    <x v="1"/>
    <x v="0"/>
    <m/>
    <m/>
  </r>
  <r>
    <x v="0"/>
    <x v="1"/>
    <s v="SW-AGD  001773/2026"/>
    <s v=""/>
    <s v="CONVERSOR"/>
    <x v="0"/>
    <s v="S19"/>
    <s v="PEOL-AQB"/>
    <s v="WTG 06"/>
    <x v="54"/>
    <x v="0"/>
    <s v="CON.00062"/>
    <x v="1"/>
    <s v="06/05/2026 17:00"/>
    <x v="6"/>
    <s v="APR referente a preventiva do WTG anual (CONVERSOR)"/>
    <s v="57787"/>
    <s v=""/>
    <s v=""/>
    <x v="1"/>
    <x v="0"/>
    <m/>
    <m/>
  </r>
  <r>
    <x v="0"/>
    <x v="1"/>
    <s v="SW-AGD  001772/2026"/>
    <s v=""/>
    <s v="CONVERSOR"/>
    <x v="0"/>
    <s v="S19"/>
    <s v="PEOL-AQB"/>
    <s v="WTG 05"/>
    <x v="55"/>
    <x v="0"/>
    <s v="CON.00061"/>
    <x v="2"/>
    <s v="06/05/2026 12:00"/>
    <x v="6"/>
    <s v="APR referente a preventiva do WTG anual (CONVERSOR)"/>
    <s v="57786"/>
    <s v=""/>
    <s v=""/>
    <x v="1"/>
    <x v="0"/>
    <m/>
    <m/>
  </r>
  <r>
    <x v="0"/>
    <x v="1"/>
    <s v="SW-AGD  001683/2026"/>
    <s v=""/>
    <s v="CONVERSOR"/>
    <x v="0"/>
    <s v="S19"/>
    <s v="PEOL-AQB"/>
    <s v="WTG 04"/>
    <x v="10"/>
    <x v="0"/>
    <s v="CON.00060"/>
    <x v="4"/>
    <s v="05/05/2026 17:00"/>
    <x v="6"/>
    <s v="APR referente a manutenção preventiva anual conversor "/>
    <s v="57785"/>
    <s v=""/>
    <s v=""/>
    <x v="1"/>
    <x v="0"/>
    <m/>
    <m/>
  </r>
  <r>
    <x v="0"/>
    <x v="1"/>
    <s v="SW-AGD  001554/2026"/>
    <s v=""/>
    <s v="TORRE WTG"/>
    <x v="0"/>
    <s v="S19"/>
    <s v="PEOL-SAL"/>
    <s v="WTG 04"/>
    <x v="56"/>
    <x v="0"/>
    <s v="TOR.00139"/>
    <x v="6"/>
    <s v="08/05/2026 09:00"/>
    <x v="7"/>
    <s v="APR referente a inspeção da infiltração no WTG"/>
    <s v="57673"/>
    <s v=""/>
    <s v=""/>
    <x v="1"/>
    <x v="0"/>
    <m/>
    <m/>
  </r>
  <r>
    <x v="0"/>
    <x v="1"/>
    <s v="SW-AGD  001544/2026"/>
    <s v=""/>
    <s v="CONVERSOR"/>
    <x v="0"/>
    <s v="S19"/>
    <s v="PEOL-AQB"/>
    <s v="WTG 03"/>
    <x v="52"/>
    <x v="0"/>
    <s v="CON.00059"/>
    <x v="5"/>
    <s v="05/05/2026 12:00"/>
    <x v="8"/>
    <s v="APR referente a manutenção Preventiva Anual WTG (CONVERSOR)"/>
    <s v="57784"/>
    <s v=""/>
    <s v=""/>
    <x v="1"/>
    <x v="0"/>
    <m/>
    <m/>
  </r>
  <r>
    <x v="0"/>
    <x v="0"/>
    <s v="MN-AGD  001929/2026"/>
    <s v=""/>
    <s v="PARQUE EÓLICO"/>
    <x v="7"/>
    <s v="S19"/>
    <s v="PEOL-SAL"/>
    <s v="SAL PEOL"/>
    <x v="57"/>
    <x v="9"/>
    <s v="SPA.00013"/>
    <x v="0"/>
    <s v="01/05/2026 17:00"/>
    <x v="1"/>
    <s v="Realizar atividade de roçada_x000d__x000a_"/>
    <s v=""/>
    <s v=""/>
    <s v=""/>
    <x v="0"/>
    <x v="0"/>
    <m/>
    <m/>
  </r>
  <r>
    <x v="0"/>
    <x v="1"/>
    <s v="SW-AGD  001530/2026"/>
    <s v=""/>
    <s v="TORRE WTG"/>
    <x v="8"/>
    <s v="S19"/>
    <s v="PEOL-SAL"/>
    <s v="WTG 04"/>
    <x v="56"/>
    <x v="10"/>
    <s v="TOR.00139"/>
    <x v="6"/>
    <s v="08/05/2026 09:00"/>
    <x v="7"/>
    <s v="Realizar inspeção da infiltração no tramo 5 da torre"/>
    <s v="57673"/>
    <s v=""/>
    <s v=""/>
    <x v="1"/>
    <x v="0"/>
    <m/>
    <m/>
  </r>
  <r>
    <x v="0"/>
    <x v="1"/>
    <s v="SW-AGD  001687/2026"/>
    <s v=""/>
    <s v="CONVERSOR"/>
    <x v="9"/>
    <s v="S19"/>
    <s v="PEOL-AQB"/>
    <s v="WTG 04"/>
    <x v="10"/>
    <x v="1"/>
    <s v="CON.00060"/>
    <x v="3"/>
    <s v="07/05/2026 17:00"/>
    <x v="4"/>
    <s v="Atualização do software para usar sensor de fumaça"/>
    <s v="57672"/>
    <s v="SI   2026/406"/>
    <s v="Autorizada"/>
    <x v="1"/>
    <x v="0"/>
    <m/>
    <m/>
  </r>
  <r>
    <x v="0"/>
    <x v="1"/>
    <s v="SW-AGD  001685/2026"/>
    <s v=""/>
    <s v="CONVERSOR"/>
    <x v="9"/>
    <s v="S19"/>
    <s v="PEOL-AQB"/>
    <s v="WTG 02"/>
    <x v="53"/>
    <x v="1"/>
    <s v="CON.00058"/>
    <x v="5"/>
    <s v="05/05/2026 17:00"/>
    <x v="4"/>
    <s v="Atualização do software para usar sensor de fumaça"/>
    <s v="57670"/>
    <s v="SI   2026/406"/>
    <s v="Autorizada"/>
    <x v="1"/>
    <x v="0"/>
    <m/>
    <m/>
  </r>
  <r>
    <x v="0"/>
    <x v="1"/>
    <s v="SW-AGD  001686/2026"/>
    <s v=""/>
    <s v="CONVERSOR"/>
    <x v="9"/>
    <s v="S19"/>
    <s v="PEOL-AQB"/>
    <s v="WTG 03"/>
    <x v="52"/>
    <x v="1"/>
    <s v="CON.00059"/>
    <x v="2"/>
    <s v="06/05/2026 17:00"/>
    <x v="4"/>
    <s v="Atualização do software para usar sensor de fumaça"/>
    <s v="57671"/>
    <s v="SI   2026/406"/>
    <s v="Autorizada"/>
    <x v="1"/>
    <x v="0"/>
    <m/>
    <m/>
  </r>
  <r>
    <x v="0"/>
    <x v="1"/>
    <s v="SW-AGD  001684/2026"/>
    <s v=""/>
    <s v="CONVERSOR"/>
    <x v="9"/>
    <s v="S19"/>
    <s v="PEOL-AQB"/>
    <s v="WTG 01"/>
    <x v="51"/>
    <x v="1"/>
    <s v="CON.00057"/>
    <x v="0"/>
    <s v="04/05/2026 17:00"/>
    <x v="4"/>
    <s v="Atualização do software para usar sensor de fumaça"/>
    <s v="57669"/>
    <s v="SI   2026/406"/>
    <s v="Autorizada"/>
    <x v="1"/>
    <x v="0"/>
    <m/>
    <m/>
  </r>
  <r>
    <x v="0"/>
    <x v="1"/>
    <s v="SW-AGD  001781/2026"/>
    <s v=""/>
    <s v="EQUIPAMENTO WTG"/>
    <x v="10"/>
    <s v="S19"/>
    <s v="SE-AGD"/>
    <s v="OFICINA WIND"/>
    <x v="3"/>
    <x v="11"/>
    <s v="EQP.00001"/>
    <x v="0"/>
    <s v="31/05/2026 17:00"/>
    <x v="9"/>
    <s v="Atividades de manutenção em bancada de equipamentos WTG (MAIO)"/>
    <s v=""/>
    <s v=""/>
    <s v=""/>
    <x v="1"/>
    <x v="0"/>
    <m/>
    <m/>
  </r>
  <r>
    <x v="0"/>
    <x v="1"/>
    <s v="SW-AGD  001319/2026"/>
    <s v="23/04/2026 23:59"/>
    <s v="CONVERSOR"/>
    <x v="11"/>
    <s v="S19"/>
    <s v="PEOL-AQB"/>
    <s v="WTG 06"/>
    <x v="58"/>
    <x v="12"/>
    <s v="CON.00062"/>
    <x v="1"/>
    <s v="06/05/2026 17:00"/>
    <x v="6"/>
    <s v=""/>
    <s v="57787"/>
    <s v="SI   2026/352"/>
    <s v="Em Execução"/>
    <x v="1"/>
    <x v="0"/>
    <m/>
    <m/>
  </r>
  <r>
    <x v="0"/>
    <x v="1"/>
    <s v="SW-AGD  001314/2026"/>
    <s v="21/04/2026 23:59"/>
    <s v="CONVERSOR"/>
    <x v="11"/>
    <s v="S19"/>
    <s v="PEOL-AQB"/>
    <s v="WTG 05"/>
    <x v="59"/>
    <x v="12"/>
    <s v="CON.00061"/>
    <x v="2"/>
    <s v="06/05/2026 12:00"/>
    <x v="6"/>
    <s v=""/>
    <s v="57786"/>
    <s v="SI   2026/352"/>
    <s v="Em Execução"/>
    <x v="1"/>
    <x v="0"/>
    <m/>
    <m/>
  </r>
  <r>
    <x v="0"/>
    <x v="1"/>
    <s v="SW-AGD  001309/2026"/>
    <s v="20/04/2026 23:59"/>
    <s v="CONVERSOR"/>
    <x v="11"/>
    <s v="S19"/>
    <s v="PEOL-AQB"/>
    <s v="WTG 04"/>
    <x v="60"/>
    <x v="12"/>
    <s v="CON.00060"/>
    <x v="4"/>
    <s v="05/05/2026 17:00"/>
    <x v="6"/>
    <s v=""/>
    <s v="57785"/>
    <s v="SI   2026/352"/>
    <s v="Em Execução"/>
    <x v="1"/>
    <x v="0"/>
    <m/>
    <m/>
  </r>
  <r>
    <x v="0"/>
    <x v="1"/>
    <s v="SW-AGD  001308/2026"/>
    <s v="20/04/2026 23:59"/>
    <s v="SISTEMA PITCH"/>
    <x v="11"/>
    <s v="S19"/>
    <s v="PEOL-AQB"/>
    <s v="WTG 04"/>
    <x v="10"/>
    <x v="12"/>
    <s v="SPT.00060"/>
    <x v="3"/>
    <s v="07/05/2026 17:00"/>
    <x v="4"/>
    <s v=""/>
    <s v="57672"/>
    <s v="SI   2026/352"/>
    <s v="Em Execução"/>
    <x v="1"/>
    <x v="0"/>
    <m/>
    <m/>
  </r>
  <r>
    <x v="0"/>
    <x v="1"/>
    <s v="SW-AGD  001307/2026"/>
    <s v="20/04/2026 23:59"/>
    <s v="TORRE WTG"/>
    <x v="11"/>
    <s v="S19"/>
    <s v="PEOL-AQB"/>
    <s v="WTG 04"/>
    <x v="10"/>
    <x v="12"/>
    <s v="TOR.00060"/>
    <x v="3"/>
    <s v="07/05/2026 17:00"/>
    <x v="4"/>
    <s v=""/>
    <s v="57672"/>
    <s v="SI   2026/352"/>
    <s v="Em Execução"/>
    <x v="1"/>
    <x v="0"/>
    <m/>
    <m/>
  </r>
  <r>
    <x v="0"/>
    <x v="1"/>
    <s v="SW-AGD  001306/2026"/>
    <s v="20/04/2026 23:59"/>
    <s v="GERADOR"/>
    <x v="11"/>
    <s v="S19"/>
    <s v="PEOL-AQB"/>
    <s v="WTG 04"/>
    <x v="10"/>
    <x v="12"/>
    <s v="GER.00060"/>
    <x v="3"/>
    <s v="07/05/2026 17:00"/>
    <x v="4"/>
    <s v=""/>
    <s v="57672"/>
    <s v="SI   2026/352"/>
    <s v="Em Execução"/>
    <x v="1"/>
    <x v="0"/>
    <m/>
    <m/>
  </r>
  <r>
    <x v="0"/>
    <x v="1"/>
    <s v="SW-AGD  001305/2026"/>
    <s v="20/04/2026 23:59"/>
    <s v="NACELLE"/>
    <x v="11"/>
    <s v="S19"/>
    <s v="PEOL-AQB"/>
    <s v="WTG 04"/>
    <x v="10"/>
    <x v="12"/>
    <s v="NAC.00060"/>
    <x v="3"/>
    <s v="07/05/2026 17:00"/>
    <x v="4"/>
    <s v=""/>
    <s v="57672"/>
    <s v="SI   2026/352"/>
    <s v="Em Execução"/>
    <x v="1"/>
    <x v="0"/>
    <m/>
    <m/>
  </r>
  <r>
    <x v="0"/>
    <x v="1"/>
    <s v="SW-AGD  001294/2026"/>
    <s v="16/04/2026 23:59"/>
    <s v="CONVERSOR"/>
    <x v="11"/>
    <s v="S19"/>
    <s v="PEOL-AQB"/>
    <s v="WTG 03"/>
    <x v="61"/>
    <x v="12"/>
    <s v="CON.00059"/>
    <x v="5"/>
    <s v="05/05/2026 12:00"/>
    <x v="8"/>
    <s v=""/>
    <s v="57784"/>
    <s v="SI   2026/352"/>
    <s v="Em Execução"/>
    <x v="1"/>
    <x v="0"/>
    <m/>
    <m/>
  </r>
  <r>
    <x v="0"/>
    <x v="1"/>
    <s v="SW-AGD  001295/2026"/>
    <s v="16/04/2026 23:59"/>
    <s v="GERADOR"/>
    <x v="11"/>
    <s v="S19"/>
    <s v="PEOL-AQB"/>
    <s v="WTG 03"/>
    <x v="52"/>
    <x v="12"/>
    <s v="GER.00059"/>
    <x v="2"/>
    <s v="06/05/2026 17:00"/>
    <x v="4"/>
    <s v=""/>
    <s v="57671"/>
    <s v="SI   2026/352"/>
    <s v="Em Execução"/>
    <x v="1"/>
    <x v="0"/>
    <m/>
    <m/>
  </r>
  <r>
    <x v="0"/>
    <x v="1"/>
    <s v="SW-AGD  001298/2026"/>
    <s v="16/04/2026 23:59"/>
    <s v="TORRE WTG"/>
    <x v="11"/>
    <s v="S19"/>
    <s v="PEOL-AQB"/>
    <s v="WTG 03"/>
    <x v="52"/>
    <x v="12"/>
    <s v="TOR.00059"/>
    <x v="2"/>
    <s v="06/05/2026 17:00"/>
    <x v="4"/>
    <s v=""/>
    <s v="57671"/>
    <s v="SI   2026/352"/>
    <s v="Em Execução"/>
    <x v="1"/>
    <x v="0"/>
    <m/>
    <m/>
  </r>
  <r>
    <x v="0"/>
    <x v="1"/>
    <s v="SW-AGD  001297/2026"/>
    <s v="16/04/2026 23:59"/>
    <s v="SISTEMA PITCH"/>
    <x v="11"/>
    <s v="S19"/>
    <s v="PEOL-AQB"/>
    <s v="WTG 03"/>
    <x v="52"/>
    <x v="12"/>
    <s v="SPT.00059"/>
    <x v="2"/>
    <s v="06/05/2026 17:00"/>
    <x v="4"/>
    <s v=""/>
    <s v="57671"/>
    <s v="SI   2026/352"/>
    <s v="Em Execução"/>
    <x v="1"/>
    <x v="0"/>
    <m/>
    <m/>
  </r>
  <r>
    <x v="0"/>
    <x v="1"/>
    <s v="SW-AGD  001296/2026"/>
    <s v="16/04/2026 23:59"/>
    <s v="NACELLE"/>
    <x v="11"/>
    <s v="S19"/>
    <s v="PEOL-AQB"/>
    <s v="WTG 03"/>
    <x v="52"/>
    <x v="12"/>
    <s v="NAC.00059"/>
    <x v="2"/>
    <s v="06/05/2026 17:00"/>
    <x v="4"/>
    <s v=""/>
    <s v="57671"/>
    <s v="SI   2026/352"/>
    <s v="Em Execução"/>
    <x v="1"/>
    <x v="0"/>
    <m/>
    <m/>
  </r>
  <r>
    <x v="0"/>
    <x v="1"/>
    <s v="SW-AGD  001281/2026"/>
    <s v="15/04/2026 23:59"/>
    <s v="TORRE WTG"/>
    <x v="11"/>
    <s v="S19"/>
    <s v="PEOL-AQB"/>
    <s v="WTG 02"/>
    <x v="53"/>
    <x v="12"/>
    <s v="TOR.00058"/>
    <x v="5"/>
    <s v="05/05/2026 17:00"/>
    <x v="4"/>
    <s v=""/>
    <s v="57670"/>
    <s v="SI   2026/352"/>
    <s v="Em Execução"/>
    <x v="1"/>
    <x v="0"/>
    <m/>
    <m/>
  </r>
  <r>
    <x v="0"/>
    <x v="1"/>
    <s v="SW-AGD  001280/2026"/>
    <s v="15/04/2026 23:59"/>
    <s v="SISTEMA PITCH"/>
    <x v="11"/>
    <s v="S19"/>
    <s v="PEOL-AQB"/>
    <s v="WTG 02"/>
    <x v="53"/>
    <x v="12"/>
    <s v="SPT.00058"/>
    <x v="5"/>
    <s v="05/05/2026 17:00"/>
    <x v="4"/>
    <s v=""/>
    <s v="57670"/>
    <s v="SI   2026/352"/>
    <s v="Em Execução"/>
    <x v="1"/>
    <x v="0"/>
    <m/>
    <m/>
  </r>
  <r>
    <x v="0"/>
    <x v="1"/>
    <s v="SW-AGD  001279/2026"/>
    <s v="15/04/2026 23:59"/>
    <s v="NACELLE"/>
    <x v="11"/>
    <s v="S19"/>
    <s v="PEOL-AQB"/>
    <s v="WTG 02"/>
    <x v="53"/>
    <x v="12"/>
    <s v="NAC.00058"/>
    <x v="5"/>
    <s v="05/05/2026 17:00"/>
    <x v="4"/>
    <s v=""/>
    <s v="57670"/>
    <s v="SI   2026/352"/>
    <s v="Em Execução"/>
    <x v="1"/>
    <x v="0"/>
    <m/>
    <m/>
  </r>
  <r>
    <x v="0"/>
    <x v="1"/>
    <s v="SW-AGD  001278/2026"/>
    <s v="15/04/2026 23:59"/>
    <s v="GERADOR"/>
    <x v="11"/>
    <s v="S19"/>
    <s v="PEOL-AQB"/>
    <s v="WTG 02"/>
    <x v="53"/>
    <x v="12"/>
    <s v="GER.00058"/>
    <x v="5"/>
    <s v="05/05/2026 17:00"/>
    <x v="4"/>
    <s v=""/>
    <s v="57670"/>
    <s v="SI   2026/352"/>
    <s v="Em Execução"/>
    <x v="1"/>
    <x v="0"/>
    <m/>
    <m/>
  </r>
  <r>
    <x v="0"/>
    <x v="1"/>
    <s v="SW-AGD  001250/2026"/>
    <s v="13/04/2026 23:59"/>
    <s v="SISTEMA PITCH"/>
    <x v="11"/>
    <s v="S19"/>
    <s v="PEOL-AQB"/>
    <s v="WTG 01"/>
    <x v="51"/>
    <x v="12"/>
    <s v="SPT.00057"/>
    <x v="0"/>
    <s v="04/05/2026 17:00"/>
    <x v="4"/>
    <s v=""/>
    <s v="57669"/>
    <s v="SI   2026/352"/>
    <s v="Em Execução"/>
    <x v="1"/>
    <x v="0"/>
    <m/>
    <m/>
  </r>
  <r>
    <x v="0"/>
    <x v="1"/>
    <s v="SW-AGD  001251/2026"/>
    <s v="13/04/2026 23:59"/>
    <s v="TORRE WTG"/>
    <x v="11"/>
    <s v="S19"/>
    <s v="PEOL-AQB"/>
    <s v="WTG 01"/>
    <x v="51"/>
    <x v="12"/>
    <s v="TOR.00057"/>
    <x v="0"/>
    <s v="04/05/2026 17:00"/>
    <x v="4"/>
    <s v=""/>
    <s v="57669"/>
    <s v="SI   2026/352"/>
    <s v="Em Execução"/>
    <x v="1"/>
    <x v="0"/>
    <m/>
    <m/>
  </r>
  <r>
    <x v="0"/>
    <x v="1"/>
    <s v="SW-AGD  001248/2026"/>
    <s v="13/04/2026 23:59"/>
    <s v="GERADOR"/>
    <x v="11"/>
    <s v="S19"/>
    <s v="PEOL-AQB"/>
    <s v="WTG 01"/>
    <x v="51"/>
    <x v="12"/>
    <s v="GER.00057"/>
    <x v="0"/>
    <s v="04/05/2026 17:00"/>
    <x v="4"/>
    <s v=""/>
    <s v="57669"/>
    <s v="SI   2026/352"/>
    <s v="Em Execução"/>
    <x v="1"/>
    <x v="0"/>
    <m/>
    <m/>
  </r>
  <r>
    <x v="0"/>
    <x v="1"/>
    <s v="SW-AGD  001249/2026"/>
    <s v="13/04/2026 23:59"/>
    <s v="NACELLE"/>
    <x v="11"/>
    <s v="S19"/>
    <s v="PEOL-AQB"/>
    <s v="WTG 01"/>
    <x v="51"/>
    <x v="12"/>
    <s v="NAC.00057"/>
    <x v="0"/>
    <s v="04/05/2026 17:00"/>
    <x v="4"/>
    <s v=""/>
    <s v="57669"/>
    <s v="SI   2026/352"/>
    <s v="Em Execução"/>
    <x v="1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BFAE-ABC2-4BE5-9762-DA533CD929B4}" name="Tabela dinâmica1" cacheId="15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Ordens por Equipe x Dia da Semana">
  <location ref="A3:I23" firstHeaderRow="1" firstDataRow="2" firstDataCol="1"/>
  <pivotFields count="23">
    <pivotField showAll="0"/>
    <pivotField axis="axisRow" showAll="0">
      <items count="11">
        <item m="1" x="6"/>
        <item m="1" x="4"/>
        <item m="1" x="5"/>
        <item m="1" x="9"/>
        <item m="1" x="7"/>
        <item m="1" x="8"/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81">
        <item x="7"/>
        <item m="1" x="232"/>
        <item x="1"/>
        <item x="6"/>
        <item m="1" x="360"/>
        <item x="2"/>
        <item x="4"/>
        <item x="12"/>
        <item m="1" x="349"/>
        <item m="1" x="353"/>
        <item m="1" x="363"/>
        <item m="1" x="348"/>
        <item x="3"/>
        <item m="1" x="14"/>
        <item m="1" x="345"/>
        <item m="1" x="234"/>
        <item m="1" x="378"/>
        <item m="1" x="350"/>
        <item m="1" x="377"/>
        <item m="1" x="379"/>
        <item m="1" x="376"/>
        <item m="1" x="371"/>
        <item m="1" x="356"/>
        <item x="8"/>
        <item m="1" x="374"/>
        <item m="1" x="367"/>
        <item m="1" x="358"/>
        <item m="1" x="375"/>
        <item m="1" x="370"/>
        <item m="1" x="16"/>
        <item m="1" x="355"/>
        <item m="1" x="373"/>
        <item m="1" x="372"/>
        <item m="1" x="354"/>
        <item m="1" x="351"/>
        <item m="1" x="359"/>
        <item m="1" x="357"/>
        <item m="1" x="347"/>
        <item m="1" x="368"/>
        <item x="9"/>
        <item x="5"/>
        <item m="1" x="369"/>
        <item m="1" x="346"/>
        <item m="1" x="366"/>
        <item m="1" x="365"/>
        <item m="1" x="364"/>
        <item m="1" x="362"/>
        <item m="1" x="361"/>
        <item m="1" x="352"/>
        <item x="10"/>
        <item m="1" x="133"/>
        <item x="0"/>
        <item m="1" x="132"/>
        <item m="1" x="137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156"/>
        <item m="1" x="157"/>
        <item m="1" x="158"/>
        <item m="1" x="159"/>
        <item m="1" x="273"/>
        <item m="1" x="160"/>
        <item m="1" x="274"/>
        <item m="1" x="181"/>
        <item m="1" x="176"/>
        <item m="1" x="171"/>
        <item m="1" x="166"/>
        <item m="1" x="275"/>
        <item m="1" x="276"/>
        <item m="1" x="136"/>
        <item m="1" x="277"/>
        <item m="1" x="278"/>
        <item m="1" x="279"/>
        <item m="1" x="280"/>
        <item m="1" x="222"/>
        <item m="1" x="223"/>
        <item m="1" x="35"/>
        <item m="1" x="221"/>
        <item m="1" x="220"/>
        <item m="1" x="215"/>
        <item m="1" x="198"/>
        <item m="1" x="204"/>
        <item m="1" x="210"/>
        <item m="1" x="186"/>
        <item m="1" x="192"/>
        <item m="1" x="161"/>
        <item m="1" x="151"/>
        <item m="1" x="146"/>
        <item m="1" x="281"/>
        <item m="1" x="142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28"/>
        <item m="1" x="327"/>
        <item m="1" x="328"/>
        <item m="1" x="29"/>
        <item m="1" x="30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163"/>
        <item m="1" x="162"/>
        <item m="1" x="165"/>
        <item m="1" x="164"/>
        <item m="1" x="152"/>
        <item m="1" x="153"/>
        <item m="1" x="155"/>
        <item m="1" x="154"/>
        <item m="1" x="149"/>
        <item m="1" x="150"/>
        <item m="1" x="147"/>
        <item m="1" x="148"/>
        <item m="1" x="144"/>
        <item m="1" x="145"/>
        <item m="1" x="143"/>
        <item m="1" x="24"/>
        <item m="1" x="233"/>
        <item m="1" x="138"/>
        <item m="1" x="139"/>
        <item m="1" x="140"/>
        <item m="1" x="141"/>
        <item m="1" x="37"/>
        <item m="1" x="167"/>
        <item m="1" x="168"/>
        <item m="1" x="169"/>
        <item m="1" x="170"/>
        <item m="1" x="172"/>
        <item m="1" x="173"/>
        <item m="1" x="174"/>
        <item m="1" x="175"/>
        <item m="1" x="177"/>
        <item m="1" x="178"/>
        <item m="1" x="179"/>
        <item m="1" x="180"/>
        <item m="1" x="182"/>
        <item m="1" x="183"/>
        <item m="1" x="184"/>
        <item m="1" x="185"/>
        <item m="1" x="187"/>
        <item m="1" x="188"/>
        <item m="1" x="189"/>
        <item m="1" x="190"/>
        <item m="1" x="191"/>
        <item m="1" x="193"/>
        <item m="1" x="194"/>
        <item m="1" x="195"/>
        <item m="1" x="196"/>
        <item m="1" x="197"/>
        <item m="1" x="199"/>
        <item m="1" x="200"/>
        <item m="1" x="201"/>
        <item m="1" x="202"/>
        <item m="1" x="203"/>
        <item m="1" x="205"/>
        <item m="1" x="206"/>
        <item m="1" x="207"/>
        <item m="1" x="208"/>
        <item m="1" x="209"/>
        <item m="1" x="211"/>
        <item m="1" x="212"/>
        <item m="1" x="213"/>
        <item m="1" x="214"/>
        <item m="1" x="216"/>
        <item m="1" x="217"/>
        <item m="1" x="218"/>
        <item m="1" x="219"/>
        <item m="1" x="38"/>
        <item m="1" x="41"/>
        <item m="1" x="40"/>
        <item m="1" x="39"/>
        <item m="1" x="44"/>
        <item m="1" x="43"/>
        <item m="1" x="45"/>
        <item m="1" x="46"/>
        <item m="1" x="50"/>
        <item m="1" x="49"/>
        <item m="1" x="48"/>
        <item m="1" x="47"/>
        <item m="1" x="53"/>
        <item m="1" x="52"/>
        <item m="1" x="54"/>
        <item m="1" x="51"/>
        <item m="1" x="58"/>
        <item m="1" x="57"/>
        <item m="1" x="59"/>
        <item m="1" x="60"/>
        <item m="1" x="224"/>
        <item m="1" x="225"/>
        <item m="1" x="226"/>
        <item m="1" x="227"/>
        <item m="1" x="228"/>
        <item m="1" x="229"/>
        <item m="1" x="230"/>
        <item m="1" x="231"/>
        <item m="1" x="55"/>
        <item m="1" x="56"/>
        <item m="1" x="131"/>
        <item m="1" x="134"/>
        <item m="1" x="135"/>
        <item m="1" x="17"/>
        <item m="1" x="18"/>
        <item m="1" x="19"/>
        <item m="1" x="20"/>
        <item m="1" x="21"/>
        <item m="1" x="22"/>
        <item m="1" x="23"/>
        <item m="1" x="25"/>
        <item m="1" x="26"/>
        <item m="1" x="27"/>
        <item m="1" x="31"/>
        <item m="1" x="32"/>
        <item m="1" x="33"/>
        <item m="1" x="34"/>
        <item m="1" x="36"/>
        <item m="1" x="42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"/>
        <item m="1" x="1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numFmtId="164" showAll="0" sortType="ascending">
      <items count="606">
        <item n="." m="1" x="107"/>
        <item n="01/04 08:00" m="1" x="60"/>
        <item n="01/04 13:00" m="1" x="59"/>
        <item m="1" x="68"/>
        <item m="1" x="67"/>
        <item m="1" x="11"/>
        <item n="02/02" m="1" x="138"/>
        <item m="1" x="117"/>
        <item n="02/03 08:00" m="1" x="99"/>
        <item n="02/03 13:00" m="1" x="100"/>
        <item n="02/04 08:00" m="1" x="61"/>
        <item m="1" x="62"/>
        <item n="03/02" m="1" x="143"/>
        <item n="03/03 08:00" m="1" x="101"/>
        <item n="03/03 13:00" m="1" x="102"/>
        <item n="04/02" m="1" x="141"/>
        <item n="04/03 08:00" m="1" x="103"/>
        <item n="04/03 13:00" m="1" x="104"/>
        <item n="04/05 08:00" x="0"/>
        <item n="05/02" m="1" x="140"/>
        <item n="05/03 08:00" m="1" x="105"/>
        <item n="05/05 08:00" x="5"/>
        <item n="05/05 13:00" x="4"/>
        <item n="06/02" m="1" x="137"/>
        <item n="06/03 08:00" m="1" x="106"/>
        <item n="06/04 08:00" m="1" x="50"/>
        <item n="06/04 08:00:00" m="1" x="53"/>
        <item n="06/04 13:00" m="1" x="51"/>
        <item n="06/05 13:00" x="1"/>
        <item n="06/0508:00" x="2"/>
        <item n="07/04 08:00" m="1" x="49"/>
        <item n="07/05 08:00" x="3"/>
        <item n="08/04 08:00" m="1" x="46"/>
        <item n="08/05 08:00" x="6"/>
        <item n="09/02" m="1" x="134"/>
        <item m="1" x="132"/>
        <item n="09/03 08:00" m="1" x="76"/>
        <item n="09/03 13:00" m="1" x="77"/>
        <item m="1" x="86"/>
        <item m="1" x="87"/>
        <item m="1" x="88"/>
        <item n="09/04  08:00" m="1" x="52"/>
        <item n="09/04 08:00" m="1" x="48"/>
        <item n="10/03 08:00" m="1" x="78"/>
        <item n="10/03 13:00" m="1" x="79"/>
        <item m="1" x="98"/>
        <item m="1" x="94"/>
        <item m="1" x="89"/>
        <item n="10/04 08:00" m="1" x="47"/>
        <item n="11/02" m="1" x="128"/>
        <item n="11/03 08:00" m="1" x="80"/>
        <item n="11/03 13:00" m="1" x="81"/>
        <item m="1" x="90"/>
        <item m="1" x="91"/>
        <item n="12/01" m="1" x="154"/>
        <item n="12/02" m="1" x="129"/>
        <item m="1" x="135"/>
        <item n="12/03 08:00" m="1" x="82"/>
        <item n="12/03 10:00" m="1" x="85"/>
        <item n="12/03 13:00" m="1" x="83"/>
        <item m="1" x="97"/>
        <item m="1" x="95"/>
        <item n="13/02" m="1" x="130"/>
        <item m="1" x="136"/>
        <item n="13/03 08:00" m="1" x="84"/>
        <item m="1" x="96"/>
        <item m="1" x="92"/>
        <item m="1" x="25"/>
        <item m="1" x="40"/>
        <item m="1" x="44"/>
        <item m="1" x="24"/>
        <item m="1" x="32"/>
        <item m="1" x="133"/>
        <item m="1" x="30"/>
        <item m="1" x="41"/>
        <item m="1" x="23"/>
        <item m="1" x="43"/>
        <item m="1" x="31"/>
        <item m="1" x="27"/>
        <item m="1" x="39"/>
        <item m="1" x="35"/>
        <item m="1" x="28"/>
        <item m="1" x="36"/>
        <item m="1" x="93"/>
        <item m="1" x="29"/>
        <item m="1" x="38"/>
        <item m="1" x="42"/>
        <item m="1" x="26"/>
        <item m="1" x="37"/>
        <item m="1" x="34"/>
        <item m="1" x="33"/>
        <item m="1" x="45"/>
        <item n="18/02" m="1" x="118"/>
        <item m="1" x="122"/>
        <item n="19/01" m="1" x="150"/>
        <item n="19/02" m="1" x="120"/>
        <item n="20/01" m="1" x="151"/>
        <item n="20/02" m="1" x="119"/>
        <item n="21/01" m="1" x="149"/>
        <item n="22/01" m="1" x="152"/>
        <item m="1" x="22"/>
        <item m="1" x="19"/>
        <item n="23/01" m="1" x="153"/>
        <item n="23/02 08:00" m="1" x="113"/>
        <item n="23/02 08:00:00" m="1" x="116"/>
        <item n="23/02 13:00" m="1" x="111"/>
        <item n="23/03 08:00" m="1" x="69"/>
        <item n="23/03 13:00" m="1" x="70"/>
        <item m="1" x="20"/>
        <item n="24/02 08:00" m="1" x="112"/>
        <item n="24/02 13:00" m="1" x="110"/>
        <item n="24/03 08:00" m="1" x="71"/>
        <item n="24/03 13:00" m="1" x="72"/>
        <item m="1" x="21"/>
        <item n="25/02 08:00" m="1" x="109"/>
        <item n="25/02 13:00" m="1" x="108"/>
        <item n="25/03 08:00" m="1" x="73"/>
        <item n="26/01" m="1" x="125"/>
        <item m="1" x="148"/>
        <item n="26/02 08:00" m="1" x="115"/>
        <item n="26/03 08:00" m="1" x="74"/>
        <item n="27/01" m="1" x="144"/>
        <item n="27/02 08:00" m="1" x="114"/>
        <item n="27/03 08:00" m="1" x="75"/>
        <item n="27/04 08:00" m="1" x="12"/>
        <item n="27/0413:00" m="1" x="13"/>
        <item m="1" x="126"/>
        <item n="28/01" m="1" x="145"/>
        <item m="1" x="124"/>
        <item n="28/04 08:00" m="1" x="10"/>
        <item n="28/04 13:00" m="1" x="14"/>
        <item n="29/01" m="1" x="142"/>
        <item n="29/04 08:00" m="1" x="9"/>
        <item n="30/01" m="1" x="146"/>
        <item n="30/03 08:00" m="1" x="55"/>
        <item n="30/03 13:00" m="1" x="56"/>
        <item m="1" x="63"/>
        <item m="1" x="64"/>
        <item n="30/04 08:00" m="1" x="15"/>
        <item n="31/03 08:00" m="1" x="57"/>
        <item n="31/03 13:00" m="1" x="58"/>
        <item m="1" x="65"/>
        <item m="1" x="66"/>
        <item m="1" x="234"/>
        <item m="1" x="235"/>
        <item m="1" x="201"/>
        <item m="1" x="156"/>
        <item m="1" x="54"/>
        <item m="1" x="287"/>
        <item m="1" x="315"/>
        <item m="1" x="310"/>
        <item m="1" x="305"/>
        <item m="1" x="300"/>
        <item m="1" x="295"/>
        <item m="1" x="294"/>
        <item m="1" x="293"/>
        <item m="1" x="208"/>
        <item m="1" x="206"/>
        <item m="1" x="204"/>
        <item m="1" x="285"/>
        <item m="1" x="282"/>
        <item m="1" x="279"/>
        <item m="1" x="256"/>
        <item m="1" x="253"/>
        <item m="1" x="250"/>
        <item m="1" x="247"/>
        <item m="1" x="244"/>
        <item m="1" x="276"/>
        <item m="1" x="273"/>
        <item m="1" x="270"/>
        <item m="1" x="267"/>
        <item m="1" x="264"/>
        <item m="1" x="261"/>
        <item m="1" x="259"/>
        <item m="1" x="224"/>
        <item m="1" x="200"/>
        <item m="1" x="232"/>
        <item m="1" x="198"/>
        <item m="1" x="197"/>
        <item m="1" x="227"/>
        <item m="1" x="195"/>
        <item m="1" x="194"/>
        <item m="1" x="189"/>
        <item m="1" x="193"/>
        <item m="1" x="226"/>
        <item m="1" x="191"/>
        <item m="1" x="190"/>
        <item m="1" x="211"/>
        <item m="1" x="210"/>
        <item m="1" x="209"/>
        <item m="1" x="231"/>
        <item m="1" x="230"/>
        <item m="1" x="229"/>
        <item m="1" x="228"/>
        <item m="1" x="225"/>
        <item m="1" x="223"/>
        <item m="1" x="222"/>
        <item m="1" x="221"/>
        <item m="1" x="220"/>
        <item m="1" x="219"/>
        <item m="1" x="218"/>
        <item m="1" x="217"/>
        <item m="1" x="216"/>
        <item m="1" x="214"/>
        <item m="1" x="215"/>
        <item m="1" x="213"/>
        <item m="1" x="169"/>
        <item m="1" x="165"/>
        <item m="1" x="205"/>
        <item m="1" x="202"/>
        <item m="1" x="166"/>
        <item m="1" x="199"/>
        <item m="1" x="196"/>
        <item m="1" x="192"/>
        <item m="1" x="167"/>
        <item m="1" x="286"/>
        <item m="1" x="283"/>
        <item m="1" x="280"/>
        <item m="1" x="257"/>
        <item m="1" x="254"/>
        <item m="1" x="251"/>
        <item m="1" x="248"/>
        <item m="1" x="245"/>
        <item m="1" x="277"/>
        <item m="1" x="274"/>
        <item m="1" x="271"/>
        <item m="1" x="268"/>
        <item m="1" x="265"/>
        <item m="1" x="262"/>
        <item m="1" x="260"/>
        <item m="1" x="290"/>
        <item m="1" x="314"/>
        <item m="1" x="309"/>
        <item m="1" x="304"/>
        <item m="1" x="299"/>
        <item m="1" x="157"/>
        <item m="1" x="291"/>
        <item m="1" x="313"/>
        <item m="1" x="308"/>
        <item m="1" x="303"/>
        <item m="1" x="298"/>
        <item m="1" x="212"/>
        <item m="1" x="164"/>
        <item m="1" x="163"/>
        <item m="1" x="162"/>
        <item m="1" x="161"/>
        <item m="1" x="160"/>
        <item m="1" x="159"/>
        <item m="1" x="158"/>
        <item m="1" x="183"/>
        <item m="1" x="182"/>
        <item m="1" x="181"/>
        <item m="1" x="180"/>
        <item m="1" x="179"/>
        <item m="1" x="178"/>
        <item m="1" x="177"/>
        <item m="1" x="176"/>
        <item m="1" x="175"/>
        <item m="1" x="241"/>
        <item m="1" x="240"/>
        <item m="1" x="239"/>
        <item m="1" x="238"/>
        <item m="1" x="18"/>
        <item m="1" x="185"/>
        <item m="1" x="242"/>
        <item m="1" x="155"/>
        <item m="1" x="288"/>
        <item m="1" x="312"/>
        <item m="1" x="307"/>
        <item m="1" x="302"/>
        <item m="1" x="297"/>
        <item m="1" x="174"/>
        <item m="1" x="173"/>
        <item m="1" x="172"/>
        <item m="1" x="207"/>
        <item m="1" x="184"/>
        <item m="1" x="203"/>
        <item m="1" x="188"/>
        <item m="1" x="187"/>
        <item m="1" x="186"/>
        <item m="1" x="284"/>
        <item m="1" x="281"/>
        <item m="1" x="278"/>
        <item m="1" x="255"/>
        <item m="1" x="252"/>
        <item m="1" x="249"/>
        <item m="1" x="246"/>
        <item m="1" x="243"/>
        <item m="1" x="275"/>
        <item m="1" x="272"/>
        <item m="1" x="269"/>
        <item m="1" x="266"/>
        <item m="1" x="263"/>
        <item m="1" x="258"/>
        <item m="1" x="289"/>
        <item m="1" x="311"/>
        <item m="1" x="306"/>
        <item m="1" x="301"/>
        <item m="1" x="296"/>
        <item m="1" x="171"/>
        <item m="1" x="170"/>
        <item m="1" x="168"/>
        <item m="1" x="237"/>
        <item m="1" x="236"/>
        <item m="1" x="233"/>
        <item m="1" x="292"/>
        <item m="1" x="317"/>
        <item m="1" x="316"/>
        <item m="1" x="412"/>
        <item m="1" x="413"/>
        <item m="1" x="414"/>
        <item m="1" x="601"/>
        <item m="1" x="591"/>
        <item m="1" x="602"/>
        <item m="1" x="595"/>
        <item m="1" x="592"/>
        <item m="1" x="596"/>
        <item m="1" x="597"/>
        <item m="1" x="593"/>
        <item m="1" x="603"/>
        <item m="1" x="598"/>
        <item m="1" x="594"/>
        <item m="1" x="599"/>
        <item m="1" x="604"/>
        <item m="1" x="600"/>
        <item m="1" x="590"/>
        <item m="1" x="580"/>
        <item m="1" x="579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74"/>
        <item m="1" x="564"/>
        <item m="1" x="575"/>
        <item m="1" x="565"/>
        <item m="1" x="576"/>
        <item m="1" x="566"/>
        <item m="1" x="567"/>
        <item m="1" x="577"/>
        <item m="1" x="568"/>
        <item m="1" x="571"/>
        <item m="1" x="578"/>
        <item m="1" x="569"/>
        <item m="1" x="572"/>
        <item m="1" x="570"/>
        <item m="1" x="573"/>
        <item m="1" x="548"/>
        <item m="1" x="559"/>
        <item m="1" x="549"/>
        <item m="1" x="557"/>
        <item m="1" x="560"/>
        <item m="1" x="552"/>
        <item m="1" x="523"/>
        <item m="1" x="561"/>
        <item m="1" x="562"/>
        <item m="1" x="553"/>
        <item m="1" x="545"/>
        <item m="1" x="556"/>
        <item m="1" x="550"/>
        <item m="1" x="563"/>
        <item m="1" x="554"/>
        <item m="1" x="546"/>
        <item m="1" x="551"/>
        <item m="1" x="555"/>
        <item m="1" x="547"/>
        <item m="1" x="558"/>
        <item m="1" x="537"/>
        <item m="1" x="538"/>
        <item m="1" x="539"/>
        <item m="1" x="541"/>
        <item m="1" x="540"/>
        <item m="1" x="542"/>
        <item m="1" x="543"/>
        <item m="1" x="544"/>
        <item m="1" x="536"/>
        <item m="1" x="524"/>
        <item m="1" x="528"/>
        <item m="1" x="529"/>
        <item m="1" x="530"/>
        <item m="1" x="531"/>
        <item m="1" x="525"/>
        <item m="1" x="532"/>
        <item m="1" x="526"/>
        <item m="1" x="533"/>
        <item m="1" x="527"/>
        <item m="1" x="534"/>
        <item m="1" x="535"/>
        <item m="1" x="518"/>
        <item m="1" x="514"/>
        <item m="1" x="515"/>
        <item m="1" x="519"/>
        <item m="1" x="516"/>
        <item m="1" x="517"/>
        <item m="1" x="520"/>
        <item m="1" x="522"/>
        <item m="1" x="521"/>
        <item m="1" x="508"/>
        <item m="1" x="506"/>
        <item m="1" x="504"/>
        <item m="1" x="509"/>
        <item m="1" x="505"/>
        <item m="1" x="513"/>
        <item m="1" x="507"/>
        <item m="1" x="510"/>
        <item m="1" x="512"/>
        <item m="1" x="511"/>
        <item m="1" x="502"/>
        <item m="1" x="492"/>
        <item m="1" x="503"/>
        <item m="1" x="493"/>
        <item m="1" x="497"/>
        <item m="1" x="494"/>
        <item m="1" x="498"/>
        <item m="1" x="495"/>
        <item m="1" x="499"/>
        <item m="1" x="500"/>
        <item m="1" x="496"/>
        <item m="1" x="501"/>
        <item m="1" x="487"/>
        <item m="1" x="479"/>
        <item m="1" x="488"/>
        <item m="1" x="480"/>
        <item m="1" x="485"/>
        <item m="1" x="486"/>
        <item m="1" x="489"/>
        <item m="1" x="481"/>
        <item m="1" x="491"/>
        <item m="1" x="482"/>
        <item m="1" x="483"/>
        <item m="1" x="484"/>
        <item m="1" x="490"/>
        <item m="1" x="462"/>
        <item m="1" x="463"/>
        <item m="1" x="468"/>
        <item m="1" x="469"/>
        <item m="1" x="478"/>
        <item m="1" x="464"/>
        <item m="1" x="470"/>
        <item m="1" x="471"/>
        <item m="1" x="465"/>
        <item m="1" x="472"/>
        <item m="1" x="473"/>
        <item m="1" x="474"/>
        <item m="1" x="466"/>
        <item m="1" x="467"/>
        <item m="1" x="475"/>
        <item m="1" x="476"/>
        <item m="1" x="477"/>
        <item m="1" x="456"/>
        <item m="1" x="457"/>
        <item m="1" x="458"/>
        <item m="1" x="459"/>
        <item m="1" x="460"/>
        <item m="1" x="461"/>
        <item m="1" x="418"/>
        <item m="1" x="444"/>
        <item m="1" x="445"/>
        <item m="1" x="455"/>
        <item m="1" x="447"/>
        <item m="1" x="416"/>
        <item m="1" x="454"/>
        <item m="1" x="448"/>
        <item m="1" x="449"/>
        <item m="1" x="453"/>
        <item m="1" x="446"/>
        <item m="1" x="452"/>
        <item m="1" x="450"/>
        <item m="1" x="451"/>
        <item m="1" x="433"/>
        <item m="1" x="438"/>
        <item m="1" x="432"/>
        <item m="1" x="435"/>
        <item m="1" x="439"/>
        <item m="1" x="436"/>
        <item m="1" x="440"/>
        <item m="1" x="415"/>
        <item m="1" x="419"/>
        <item m="1" x="443"/>
        <item m="1" x="442"/>
        <item m="1" x="437"/>
        <item m="1" x="434"/>
        <item m="1" x="441"/>
        <item m="1" x="420"/>
        <item m="1" x="424"/>
        <item m="1" x="421"/>
        <item m="1" x="425"/>
        <item m="1" x="422"/>
        <item m="1" x="426"/>
        <item m="1" x="423"/>
        <item m="1" x="427"/>
        <item m="1" x="428"/>
        <item m="1" x="411"/>
        <item m="1" x="431"/>
        <item m="1" x="429"/>
        <item m="1" x="417"/>
        <item m="1" x="430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394"/>
        <item m="1" x="391"/>
        <item m="1" x="385"/>
        <item m="1" x="381"/>
        <item m="1" x="384"/>
        <item m="1" x="390"/>
        <item m="1" x="380"/>
        <item m="1" x="392"/>
        <item m="1" x="383"/>
        <item m="1" x="389"/>
        <item m="1" x="379"/>
        <item m="1" x="382"/>
        <item m="1" x="388"/>
        <item m="1" x="378"/>
        <item m="1" x="393"/>
        <item m="1" x="387"/>
        <item m="1" x="386"/>
        <item m="1" x="372"/>
        <item m="1" x="371"/>
        <item m="1" x="375"/>
        <item m="1" x="370"/>
        <item m="1" x="374"/>
        <item m="1" x="369"/>
        <item m="1" x="373"/>
        <item m="1" x="377"/>
        <item m="1" x="376"/>
        <item m="1" x="364"/>
        <item m="1" x="365"/>
        <item m="1" x="366"/>
        <item m="1" x="367"/>
        <item m="1" x="368"/>
        <item m="1" x="355"/>
        <item m="1" x="362"/>
        <item m="1" x="357"/>
        <item m="1" x="358"/>
        <item m="1" x="356"/>
        <item m="1" x="363"/>
        <item m="1" x="359"/>
        <item m="1" x="360"/>
        <item m="1" x="361"/>
        <item m="1" x="340"/>
        <item m="1" x="342"/>
        <item m="1" x="343"/>
        <item m="1" x="346"/>
        <item m="1" x="347"/>
        <item m="1" x="348"/>
        <item m="1" x="344"/>
        <item m="1" x="349"/>
        <item m="1" x="345"/>
        <item m="1" x="350"/>
        <item m="1" x="351"/>
        <item m="1" x="352"/>
        <item m="1" x="354"/>
        <item m="1" x="341"/>
        <item m="1" x="353"/>
        <item m="1" x="339"/>
        <item m="1" x="334"/>
        <item m="1" x="337"/>
        <item m="1" x="336"/>
        <item m="1" x="335"/>
        <item m="1" x="338"/>
        <item m="1" x="331"/>
        <item m="1" x="330"/>
        <item m="1" x="329"/>
        <item m="1" x="328"/>
        <item m="1" x="332"/>
        <item m="1" x="327"/>
        <item m="1" x="333"/>
        <item m="1" x="325"/>
        <item m="1" x="326"/>
        <item m="1" x="323"/>
        <item m="1" x="324"/>
        <item m="1" x="319"/>
        <item m="1" x="322"/>
        <item m="1" x="318"/>
        <item m="1" x="321"/>
        <item m="1" x="320"/>
        <item m="1" x="147"/>
        <item m="1" x="139"/>
        <item m="1" x="131"/>
        <item m="1" x="127"/>
        <item m="1" x="123"/>
        <item m="1" x="121"/>
        <item m="1" x="7"/>
        <item m="1" x="17"/>
        <item m="1" x="16"/>
        <item m="1" x="8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0"/>
  </rowFields>
  <rowItems count="19">
    <i>
      <x v="7"/>
    </i>
    <i r="1">
      <x v="3"/>
    </i>
    <i r="1">
      <x v="6"/>
    </i>
    <i r="1">
      <x v="51"/>
    </i>
    <i r="1">
      <x v="40"/>
    </i>
    <i r="1">
      <x v="2"/>
    </i>
    <i r="1">
      <x v="39"/>
    </i>
    <i r="1">
      <x v="5"/>
    </i>
    <i r="1">
      <x v="12"/>
    </i>
    <i>
      <x v="8"/>
    </i>
    <i r="1">
      <x/>
    </i>
    <i r="1">
      <x v="23"/>
    </i>
    <i>
      <x v="9"/>
    </i>
    <i r="1">
      <x v="7"/>
    </i>
    <i r="1">
      <x v="51"/>
    </i>
    <i r="1">
      <x v="2"/>
    </i>
    <i r="1">
      <x v="379"/>
    </i>
    <i r="1">
      <x v="49"/>
    </i>
    <i t="grand">
      <x/>
    </i>
  </rowItems>
  <colFields count="1">
    <field x="12"/>
  </colFields>
  <colItems count="8">
    <i>
      <x v="18"/>
    </i>
    <i>
      <x v="21"/>
    </i>
    <i>
      <x v="22"/>
    </i>
    <i>
      <x v="28"/>
    </i>
    <i>
      <x v="29"/>
    </i>
    <i>
      <x v="31"/>
    </i>
    <i>
      <x v="33"/>
    </i>
    <i t="grand">
      <x/>
    </i>
  </colItems>
  <dataFields count="1">
    <dataField name="Contagem de Ativo" fld="11" subtotal="count" baseField="0" baseItem="0"/>
  </dataFields>
  <formats count="143">
    <format dxfId="2409">
      <pivotArea grandCol="1" outline="0" collapsedLevelsAreSubtotals="1" fieldPosition="0"/>
    </format>
    <format dxfId="2408">
      <pivotArea grandCol="1" outline="0" collapsedLevelsAreSubtotals="1" fieldPosition="0"/>
    </format>
    <format dxfId="2407">
      <pivotArea grandCol="1" outline="0" collapsedLevelsAreSubtotals="1" fieldPosition="0"/>
    </format>
    <format dxfId="2406">
      <pivotArea field="12" type="button" dataOnly="0" labelOnly="1" outline="0" axis="axisCol" fieldPosition="0"/>
    </format>
    <format dxfId="2405">
      <pivotArea type="topRight" dataOnly="0" labelOnly="1" outline="0" fieldPosition="0"/>
    </format>
    <format dxfId="2404">
      <pivotArea type="all" dataOnly="0" outline="0" fieldPosition="0"/>
    </format>
    <format dxfId="2403">
      <pivotArea outline="0" collapsedLevelsAreSubtotals="1" fieldPosition="0"/>
    </format>
    <format dxfId="2402">
      <pivotArea field="1" type="button" dataOnly="0" labelOnly="1" outline="0" axis="axisRow" fieldPosition="0"/>
    </format>
    <format dxfId="2401">
      <pivotArea dataOnly="0" labelOnly="1" grandRow="1" outline="0" fieldPosition="0"/>
    </format>
    <format dxfId="2400">
      <pivotArea dataOnly="0" labelOnly="1" fieldPosition="0">
        <references count="2">
          <reference field="1" count="1" selected="0">
            <x v="1"/>
          </reference>
          <reference field="10" count="5">
            <x v="2"/>
            <x v="3"/>
            <x v="4"/>
            <x v="5"/>
            <x v="7"/>
          </reference>
        </references>
      </pivotArea>
    </format>
    <format dxfId="2399">
      <pivotArea dataOnly="0" labelOnly="1" fieldPosition="0">
        <references count="2">
          <reference field="1" count="1" selected="0">
            <x v="2"/>
          </reference>
          <reference field="10" count="2">
            <x v="0"/>
            <x v="1"/>
          </reference>
        </references>
      </pivotArea>
    </format>
    <format dxfId="2398">
      <pivotArea dataOnly="0" labelOnly="1" fieldPosition="0">
        <references count="2">
          <reference field="1" count="1" selected="0">
            <x v="4"/>
          </reference>
          <reference field="10" count="2">
            <x v="7"/>
            <x v="8"/>
          </reference>
        </references>
      </pivotArea>
    </format>
    <format dxfId="2397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2396">
      <pivotArea dataOnly="0" labelOnly="1" grandCol="1" outline="0" fieldPosition="0"/>
    </format>
    <format dxfId="2395">
      <pivotArea grandRow="1" outline="0" collapsedLevelsAreSubtotals="1" fieldPosition="0"/>
    </format>
    <format dxfId="2394">
      <pivotArea dataOnly="0" labelOnly="1" grandRow="1" outline="0" fieldPosition="0"/>
    </format>
    <format dxfId="2393">
      <pivotArea grandRow="1" outline="0" collapsedLevelsAreSubtotals="1" fieldPosition="0"/>
    </format>
    <format dxfId="2392">
      <pivotArea dataOnly="0" labelOnly="1" grandRow="1" outline="0" fieldPosition="0"/>
    </format>
    <format dxfId="2391">
      <pivotArea grandRow="1" outline="0" collapsedLevelsAreSubtotals="1" fieldPosition="0"/>
    </format>
    <format dxfId="2390">
      <pivotArea dataOnly="0" labelOnly="1" grandRow="1" outline="0" fieldPosition="0"/>
    </format>
    <format dxfId="2389">
      <pivotArea grandRow="1" grandCol="1" outline="0" collapsedLevelsAreSubtotals="1" fieldPosition="0"/>
    </format>
    <format dxfId="2388">
      <pivotArea grandRow="1" grandCol="1" outline="0" collapsedLevelsAreSubtotals="1" fieldPosition="0"/>
    </format>
    <format dxfId="2387">
      <pivotArea grandCol="1" outline="0" collapsedLevelsAreSubtotals="1" fieldPosition="0"/>
    </format>
    <format dxfId="2386">
      <pivotArea grandCol="1" outline="0" collapsedLevelsAreSubtotals="1" fieldPosition="0"/>
    </format>
    <format dxfId="2385">
      <pivotArea grandCol="1" outline="0" collapsedLevelsAreSubtotals="1" fieldPosition="0"/>
    </format>
    <format dxfId="2384">
      <pivotArea field="1" type="button" dataOnly="0" labelOnly="1" outline="0" axis="axisRow" fieldPosition="0"/>
    </format>
    <format dxfId="2383">
      <pivotArea dataOnly="0" labelOnly="1" grandRow="1" outline="0" fieldPosition="0"/>
    </format>
    <format dxfId="2382">
      <pivotArea dataOnly="0" labelOnly="1" grandCol="1" outline="0" fieldPosition="0"/>
    </format>
    <format dxfId="2381">
      <pivotArea grandRow="1" outline="0" collapsedLevelsAreSubtotals="1" fieldPosition="0"/>
    </format>
    <format dxfId="2380">
      <pivotArea grandRow="1" grandCol="1" outline="0" collapsedLevelsAreSubtotals="1" fieldPosition="0"/>
    </format>
    <format dxfId="2379">
      <pivotArea grandRow="1" grandCol="1" outline="0" collapsedLevelsAreSubtotals="1" fieldPosition="0"/>
    </format>
    <format dxfId="2378">
      <pivotArea grandRow="1" grandCol="1" outline="0" collapsedLevelsAreSubtotals="1" fieldPosition="0"/>
    </format>
    <format dxfId="2377">
      <pivotArea collapsedLevelsAreSubtotals="1" fieldPosition="0">
        <references count="1">
          <reference field="1" count="1">
            <x v="0"/>
          </reference>
        </references>
      </pivotArea>
    </format>
    <format dxfId="2376">
      <pivotArea collapsedLevelsAreSubtotals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2375">
      <pivotArea collapsedLevelsAreSubtotals="1" fieldPosition="0">
        <references count="1">
          <reference field="1" count="1">
            <x v="1"/>
          </reference>
        </references>
      </pivotArea>
    </format>
    <format dxfId="2374">
      <pivotArea collapsedLevelsAreSubtotals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2373">
      <pivotArea collapsedLevelsAreSubtotals="1" fieldPosition="0">
        <references count="1">
          <reference field="1" count="1">
            <x v="4"/>
          </reference>
        </references>
      </pivotArea>
    </format>
    <format dxfId="2372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2371">
      <pivotArea collapsedLevelsAreSubtotals="1" fieldPosition="0">
        <references count="1">
          <reference field="1" count="1">
            <x v="5"/>
          </reference>
        </references>
      </pivotArea>
    </format>
    <format dxfId="2370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2369">
      <pivotArea dataOnly="0" labelOnly="1" grandCol="1" outline="0" fieldPosition="0"/>
    </format>
    <format dxfId="2368">
      <pivotArea type="all" dataOnly="0" outline="0" fieldPosition="0"/>
    </format>
    <format dxfId="2367">
      <pivotArea outline="0" collapsedLevelsAreSubtotals="1" fieldPosition="0"/>
    </format>
    <format dxfId="2366">
      <pivotArea dataOnly="0" labelOnly="1" fieldPosition="0">
        <references count="2">
          <reference field="1" count="1" selected="0">
            <x v="0"/>
          </reference>
          <reference field="10" count="7">
            <x v="2"/>
            <x v="5"/>
            <x v="6"/>
            <x v="7"/>
            <x v="9"/>
            <x v="10"/>
            <x v="11"/>
          </reference>
        </references>
      </pivotArea>
    </format>
    <format dxfId="2365">
      <pivotArea dataOnly="0" labelOnly="1" fieldPosition="0">
        <references count="2">
          <reference field="1" count="1" selected="0">
            <x v="1"/>
          </reference>
          <reference field="10" count="2">
            <x v="2"/>
            <x v="5"/>
          </reference>
        </references>
      </pivotArea>
    </format>
    <format dxfId="2364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7"/>
          </reference>
        </references>
      </pivotArea>
    </format>
    <format dxfId="2363">
      <pivotArea dataOnly="0" labelOnly="1" fieldPosition="0">
        <references count="2">
          <reference field="1" count="1" selected="0">
            <x v="5"/>
          </reference>
          <reference field="10" count="3">
            <x v="2"/>
            <x v="7"/>
            <x v="8"/>
          </reference>
        </references>
      </pivotArea>
    </format>
    <format dxfId="2362">
      <pivotArea dataOnly="0" labelOnly="1" grandCol="1" outline="0" fieldPosition="0"/>
    </format>
    <format dxfId="2361">
      <pivotArea grandRow="1" outline="0" collapsedLevelsAreSubtotals="1" fieldPosition="0"/>
    </format>
    <format dxfId="2360">
      <pivotArea grandRow="1" outline="0" collapsedLevelsAreSubtotals="1" fieldPosition="0"/>
    </format>
    <format dxfId="2359">
      <pivotArea outline="0" collapsedLevelsAreSubtotals="1" fieldPosition="0"/>
    </format>
    <format dxfId="2358">
      <pivotArea dataOnly="0" labelOnly="1" grandCol="1" outline="0" fieldPosition="0"/>
    </format>
    <format dxfId="2357">
      <pivotArea dataOnly="0" labelOnly="1" grandCol="1" outline="0" fieldPosition="0"/>
    </format>
    <format dxfId="2356">
      <pivotArea collapsedLevelsAreSubtotals="1" fieldPosition="0">
        <references count="2">
          <reference field="1" count="1" selected="0">
            <x v="0"/>
          </reference>
          <reference field="10" count="3">
            <x v="5"/>
            <x v="9"/>
            <x v="21"/>
          </reference>
        </references>
      </pivotArea>
    </format>
    <format dxfId="2355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10"/>
          </reference>
        </references>
      </pivotArea>
    </format>
    <format dxfId="2354">
      <pivotArea collapsedLevelsAreSubtotals="1" fieldPosition="0">
        <references count="2">
          <reference field="1" count="1" selected="0">
            <x v="4"/>
          </reference>
          <reference field="10" count="3">
            <x v="2"/>
            <x v="16"/>
            <x v="24"/>
          </reference>
        </references>
      </pivotArea>
    </format>
    <format dxfId="2353">
      <pivotArea collapsedLevelsAreSubtotals="1" fieldPosition="0">
        <references count="2">
          <reference field="1" count="1" selected="0">
            <x v="5"/>
          </reference>
          <reference field="10" count="3">
            <x v="2"/>
            <x v="8"/>
            <x v="18"/>
          </reference>
        </references>
      </pivotArea>
    </format>
    <format dxfId="2352">
      <pivotArea outline="0" collapsedLevelsAreSubtotals="1" fieldPosition="0"/>
    </format>
    <format dxfId="2351">
      <pivotArea dataOnly="0" labelOnly="1" grandCol="1" outline="0" fieldPosition="0"/>
    </format>
    <format dxfId="2350">
      <pivotArea type="all" dataOnly="0" outline="0" fieldPosition="0"/>
    </format>
    <format dxfId="2349">
      <pivotArea dataOnly="0" labelOnly="1" fieldPosition="0">
        <references count="2">
          <reference field="1" count="1" selected="0">
            <x v="0"/>
          </reference>
          <reference field="10" count="5">
            <x v="2"/>
            <x v="5"/>
            <x v="12"/>
            <x v="14"/>
            <x v="15"/>
          </reference>
        </references>
      </pivotArea>
    </format>
    <format dxfId="2348">
      <pivotArea dataOnly="0" labelOnly="1" fieldPosition="0">
        <references count="2">
          <reference field="1" count="1" selected="0">
            <x v="1"/>
          </reference>
          <reference field="10" count="8">
            <x v="2"/>
            <x v="6"/>
            <x v="10"/>
            <x v="12"/>
            <x v="13"/>
            <x v="14"/>
            <x v="21"/>
            <x v="28"/>
          </reference>
        </references>
      </pivotArea>
    </format>
    <format dxfId="2347">
      <pivotArea dataOnly="0" labelOnly="1" fieldPosition="0">
        <references count="2">
          <reference field="1" count="1" selected="0">
            <x v="2"/>
          </reference>
          <reference field="10" count="1">
            <x v="11"/>
          </reference>
        </references>
      </pivotArea>
    </format>
    <format dxfId="2346">
      <pivotArea dataOnly="0" labelOnly="1" fieldPosition="0">
        <references count="2">
          <reference field="1" count="1" selected="0">
            <x v="4"/>
          </reference>
          <reference field="10" count="2">
            <x v="2"/>
            <x v="24"/>
          </reference>
        </references>
      </pivotArea>
    </format>
    <format dxfId="2345">
      <pivotArea dataOnly="0" labelOnly="1" fieldPosition="0">
        <references count="2">
          <reference field="1" count="1" selected="0">
            <x v="5"/>
          </reference>
          <reference field="10" count="2">
            <x v="2"/>
            <x v="29"/>
          </reference>
        </references>
      </pivotArea>
    </format>
    <format dxfId="2344">
      <pivotArea dataOnly="0" labelOnly="1" grandCol="1" outline="0" fieldPosition="0"/>
    </format>
    <format dxfId="2343">
      <pivotArea collapsedLevelsAreSubtotals="1" fieldPosition="0">
        <references count="2">
          <reference field="1" count="1" selected="0">
            <x v="0"/>
          </reference>
          <reference field="10" count="8">
            <x v="2"/>
            <x v="5"/>
            <x v="9"/>
            <x v="11"/>
            <x v="12"/>
            <x v="14"/>
            <x v="15"/>
            <x v="22"/>
          </reference>
        </references>
      </pivotArea>
    </format>
    <format dxfId="2342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9"/>
            <x v="12"/>
            <x v="15"/>
            <x v="21"/>
            <x v="32"/>
          </reference>
        </references>
      </pivotArea>
    </format>
    <format dxfId="2341">
      <pivotArea collapsedLevelsAreSubtotals="1" fieldPosition="0">
        <references count="2">
          <reference field="1" count="1" selected="0">
            <x v="3"/>
          </reference>
          <reference field="10" count="1">
            <x v="31"/>
          </reference>
        </references>
      </pivotArea>
    </format>
    <format dxfId="2340">
      <pivotArea collapsedLevelsAreSubtotals="1" fieldPosition="0">
        <references count="2">
          <reference field="1" count="1" selected="0">
            <x v="5"/>
          </reference>
          <reference field="10" count="2">
            <x v="2"/>
            <x v="11"/>
          </reference>
        </references>
      </pivotArea>
    </format>
    <format dxfId="2339">
      <pivotArea collapsedLevelsAreSubtotals="1" fieldPosition="0">
        <references count="2">
          <reference field="1" count="1" selected="0">
            <x v="0"/>
          </reference>
          <reference field="10" count="2">
            <x v="5"/>
            <x v="30"/>
          </reference>
        </references>
      </pivotArea>
    </format>
    <format dxfId="2338">
      <pivotArea collapsedLevelsAreSubtotals="1" fieldPosition="0">
        <references count="2">
          <reference field="1" count="1" selected="0">
            <x v="1"/>
          </reference>
          <reference field="10" count="6">
            <x v="2"/>
            <x v="5"/>
            <x v="9"/>
            <x v="15"/>
            <x v="33"/>
            <x v="34"/>
          </reference>
        </references>
      </pivotArea>
    </format>
    <format dxfId="2337">
      <pivotArea collapsedLevelsAreSubtotals="1" fieldPosition="0">
        <references count="2">
          <reference field="1" count="1" selected="0">
            <x v="4"/>
          </reference>
          <reference field="10" count="2">
            <x v="2"/>
            <x v="29"/>
          </reference>
        </references>
      </pivotArea>
    </format>
    <format dxfId="2336">
      <pivotArea collapsedLevelsAreSubtotals="1" fieldPosition="0">
        <references count="1">
          <reference field="1" count="1">
            <x v="5"/>
          </reference>
        </references>
      </pivotArea>
    </format>
    <format dxfId="2335">
      <pivotArea collapsedLevelsAreSubtotals="1" fieldPosition="0">
        <references count="2">
          <reference field="1" count="1" selected="0">
            <x v="5"/>
          </reference>
          <reference field="10" count="1">
            <x v="2"/>
          </reference>
        </references>
      </pivotArea>
    </format>
    <format dxfId="2334">
      <pivotArea dataOnly="0" labelOnly="1" grandCol="1" outline="0" fieldPosition="0"/>
    </format>
    <format dxfId="2333">
      <pivotArea dataOnly="0" labelOnly="1" grandCol="1" outline="0" fieldPosition="0"/>
    </format>
    <format dxfId="2332">
      <pivotArea type="all" dataOnly="0" outline="0" fieldPosition="0"/>
    </format>
    <format dxfId="2331">
      <pivotArea outline="0" collapsedLevelsAreSubtotals="1" fieldPosition="0"/>
    </format>
    <format dxfId="2330">
      <pivotArea type="origin" dataOnly="0" labelOnly="1" outline="0" fieldPosition="0"/>
    </format>
    <format dxfId="2329">
      <pivotArea type="topRight" dataOnly="0" labelOnly="1" outline="0" fieldPosition="0"/>
    </format>
    <format dxfId="2328">
      <pivotArea field="1" type="button" dataOnly="0" labelOnly="1" outline="0" axis="axisRow" fieldPosition="0"/>
    </format>
    <format dxfId="2327">
      <pivotArea dataOnly="0" labelOnly="1" fieldPosition="0">
        <references count="1">
          <reference field="1" count="0"/>
        </references>
      </pivotArea>
    </format>
    <format dxfId="2326">
      <pivotArea dataOnly="0" labelOnly="1" grandRow="1" outline="0" fieldPosition="0"/>
    </format>
    <format dxfId="2325">
      <pivotArea dataOnly="0" labelOnly="1" fieldPosition="0">
        <references count="2">
          <reference field="1" count="1" selected="0">
            <x v="0"/>
          </reference>
          <reference field="10" count="9">
            <x v="5"/>
            <x v="6"/>
            <x v="9"/>
            <x v="12"/>
            <x v="13"/>
            <x v="14"/>
            <x v="15"/>
            <x v="22"/>
            <x v="25"/>
          </reference>
        </references>
      </pivotArea>
    </format>
    <format dxfId="2324">
      <pivotArea dataOnly="0" labelOnly="1" fieldPosition="0">
        <references count="2">
          <reference field="1" count="1" selected="0">
            <x v="1"/>
          </reference>
          <reference field="10" count="4">
            <x v="3"/>
            <x v="5"/>
            <x v="11"/>
            <x v="40"/>
          </reference>
        </references>
      </pivotArea>
    </format>
    <format dxfId="2323">
      <pivotArea dataOnly="0" labelOnly="1" fieldPosition="0">
        <references count="2">
          <reference field="1" count="1" selected="0">
            <x v="2"/>
          </reference>
          <reference field="10" count="3">
            <x v="1"/>
            <x v="23"/>
            <x v="36"/>
          </reference>
        </references>
      </pivotArea>
    </format>
    <format dxfId="2322">
      <pivotArea dataOnly="0" labelOnly="1" fieldPosition="0">
        <references count="2">
          <reference field="1" count="1" selected="0">
            <x v="4"/>
          </reference>
          <reference field="10" count="2">
            <x v="29"/>
            <x v="34"/>
          </reference>
        </references>
      </pivotArea>
    </format>
    <format dxfId="2321">
      <pivotArea dataOnly="0" labelOnly="1" fieldPosition="0">
        <references count="2">
          <reference field="1" count="1" selected="0">
            <x v="5"/>
          </reference>
          <reference field="10" count="2">
            <x v="8"/>
            <x v="34"/>
          </reference>
        </references>
      </pivotArea>
    </format>
    <format dxfId="2320">
      <pivotArea dataOnly="0" labelOnly="1" grandCol="1" outline="0" fieldPosition="0"/>
    </format>
    <format dxfId="2319">
      <pivotArea type="topRight" dataOnly="0" labelOnly="1" outline="0" fieldPosition="0"/>
    </format>
    <format dxfId="2318">
      <pivotArea outline="0" collapsedLevelsAreSubtotals="1" fieldPosition="0"/>
    </format>
    <format dxfId="2317">
      <pivotArea dataOnly="0" labelOnly="1" grandCol="1" outline="0" fieldPosition="0"/>
    </format>
    <format dxfId="2316">
      <pivotArea outline="0" collapsedLevelsAreSubtotals="1" fieldPosition="0"/>
    </format>
    <format dxfId="2315">
      <pivotArea collapsedLevelsAreSubtotals="1" fieldPosition="0">
        <references count="1">
          <reference field="1" count="1">
            <x v="0"/>
          </reference>
        </references>
      </pivotArea>
    </format>
    <format dxfId="2314">
      <pivotArea collapsedLevelsAreSubtotals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2313">
      <pivotArea collapsedLevelsAreSubtotals="1" fieldPosition="0">
        <references count="1">
          <reference field="1" count="1">
            <x v="1"/>
          </reference>
        </references>
      </pivotArea>
    </format>
    <format dxfId="2312">
      <pivotArea collapsedLevelsAreSubtotals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2311">
      <pivotArea collapsedLevelsAreSubtotals="1" fieldPosition="0">
        <references count="1">
          <reference field="1" count="1">
            <x v="2"/>
          </reference>
        </references>
      </pivotArea>
    </format>
    <format dxfId="2310">
      <pivotArea collapsedLevelsAreSubtotals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2309">
      <pivotArea collapsedLevelsAreSubtotals="1" fieldPosition="0">
        <references count="1">
          <reference field="1" count="1">
            <x v="3"/>
          </reference>
        </references>
      </pivotArea>
    </format>
    <format dxfId="2308">
      <pivotArea collapsedLevelsAreSubtotals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2307">
      <pivotArea collapsedLevelsAreSubtotals="1" fieldPosition="0">
        <references count="1">
          <reference field="1" count="1">
            <x v="4"/>
          </reference>
        </references>
      </pivotArea>
    </format>
    <format dxfId="2306">
      <pivotArea collapsedLevelsAreSubtotals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2305">
      <pivotArea dataOnly="0" labelOnly="1" grandCol="1" outline="0" fieldPosition="0"/>
    </format>
    <format dxfId="2304">
      <pivotArea type="all" dataOnly="0" outline="0" fieldPosition="0"/>
    </format>
    <format dxfId="2303">
      <pivotArea outline="0" collapsedLevelsAreSubtotals="1" fieldPosition="0"/>
    </format>
    <format dxfId="2302">
      <pivotArea field="1" type="button" dataOnly="0" labelOnly="1" outline="0" axis="axisRow" fieldPosition="0"/>
    </format>
    <format dxfId="2301">
      <pivotArea dataOnly="0" labelOnly="1" grandRow="1" outline="0" fieldPosition="0"/>
    </format>
    <format dxfId="2300">
      <pivotArea dataOnly="0" labelOnly="1" fieldPosition="0">
        <references count="2">
          <reference field="1" count="1" selected="0">
            <x v="0"/>
          </reference>
          <reference field="10" count="4">
            <x v="2"/>
            <x v="5"/>
            <x v="9"/>
            <x v="12"/>
          </reference>
        </references>
      </pivotArea>
    </format>
    <format dxfId="2299">
      <pivotArea dataOnly="0" labelOnly="1" fieldPosition="0">
        <references count="2">
          <reference field="1" count="1" selected="0">
            <x v="1"/>
          </reference>
          <reference field="10" count="3">
            <x v="2"/>
            <x v="5"/>
            <x v="33"/>
          </reference>
        </references>
      </pivotArea>
    </format>
    <format dxfId="2298">
      <pivotArea dataOnly="0" labelOnly="1" fieldPosition="0">
        <references count="2">
          <reference field="1" count="1" selected="0">
            <x v="2"/>
          </reference>
          <reference field="10" count="1">
            <x v="1"/>
          </reference>
        </references>
      </pivotArea>
    </format>
    <format dxfId="2297">
      <pivotArea dataOnly="0" labelOnly="1" fieldPosition="0">
        <references count="2">
          <reference field="1" count="1" selected="0">
            <x v="3"/>
          </reference>
          <reference field="10" count="1">
            <x v="48"/>
          </reference>
        </references>
      </pivotArea>
    </format>
    <format dxfId="2296">
      <pivotArea dataOnly="0" labelOnly="1" fieldPosition="0">
        <references count="2">
          <reference field="1" count="1" selected="0">
            <x v="4"/>
          </reference>
          <reference field="10" count="5">
            <x v="7"/>
            <x v="8"/>
            <x v="29"/>
            <x v="34"/>
            <x v="49"/>
          </reference>
        </references>
      </pivotArea>
    </format>
    <format dxfId="2295">
      <pivotArea dataOnly="0" labelOnly="1" grandCol="1" outline="0" fieldPosition="0"/>
    </format>
    <format dxfId="2294">
      <pivotArea outline="0" collapsedLevelsAreSubtotals="1" fieldPosition="0"/>
    </format>
    <format dxfId="2293">
      <pivotArea dataOnly="0" labelOnly="1" grandCol="1" outline="0" fieldPosition="0"/>
    </format>
    <format dxfId="2292">
      <pivotArea field="1" type="button" dataOnly="0" labelOnly="1" outline="0" axis="axisRow" fieldPosition="0"/>
    </format>
    <format dxfId="2291">
      <pivotArea dataOnly="0" labelOnly="1" grandCol="1" outline="0" fieldPosition="0"/>
    </format>
    <format dxfId="2290">
      <pivotArea grandRow="1" outline="0" collapsedLevelsAreSubtotals="1" fieldPosition="0"/>
    </format>
    <format dxfId="2289">
      <pivotArea dataOnly="0" labelOnly="1" grandRow="1" outline="0" fieldPosition="0"/>
    </format>
    <format dxfId="2288">
      <pivotArea dataOnly="0" labelOnly="1" fieldPosition="0">
        <references count="1">
          <reference field="12" count="0"/>
        </references>
      </pivotArea>
    </format>
    <format dxfId="2287">
      <pivotArea dataOnly="0" labelOnly="1" fieldPosition="0">
        <references count="1">
          <reference field="12" count="0"/>
        </references>
      </pivotArea>
    </format>
    <format dxfId="2286">
      <pivotArea dataOnly="0" labelOnly="1" grandCol="1" outline="0" fieldPosition="0"/>
    </format>
    <format dxfId="2285">
      <pivotArea dataOnly="0" labelOnly="1" fieldPosition="0">
        <references count="1">
          <reference field="12" count="0"/>
        </references>
      </pivotArea>
    </format>
    <format dxfId="2284">
      <pivotArea dataOnly="0" labelOnly="1" grandCol="1" outline="0" fieldPosition="0"/>
    </format>
    <format dxfId="2283">
      <pivotArea type="all" dataOnly="0" outline="0" fieldPosition="0"/>
    </format>
    <format dxfId="2282">
      <pivotArea outline="0" collapsedLevelsAreSubtotals="1" fieldPosition="0"/>
    </format>
    <format dxfId="2281">
      <pivotArea type="origin" dataOnly="0" labelOnly="1" outline="0" fieldPosition="0"/>
    </format>
    <format dxfId="2280">
      <pivotArea field="12" type="button" dataOnly="0" labelOnly="1" outline="0" axis="axisCol" fieldPosition="0"/>
    </format>
    <format dxfId="2279">
      <pivotArea type="topRight" dataOnly="0" labelOnly="1" outline="0" fieldPosition="0"/>
    </format>
    <format dxfId="2278">
      <pivotArea field="1" type="button" dataOnly="0" labelOnly="1" outline="0" axis="axisRow" fieldPosition="0"/>
    </format>
    <format dxfId="2277">
      <pivotArea dataOnly="0" labelOnly="1" fieldPosition="0">
        <references count="1">
          <reference field="1" count="0"/>
        </references>
      </pivotArea>
    </format>
    <format dxfId="2276">
      <pivotArea dataOnly="0" labelOnly="1" grandRow="1" outline="0" fieldPosition="0"/>
    </format>
    <format dxfId="2275">
      <pivotArea dataOnly="0" labelOnly="1" fieldPosition="0">
        <references count="2">
          <reference field="1" count="1" selected="0">
            <x v="0"/>
          </reference>
          <reference field="10" count="6">
            <x v="2"/>
            <x v="5"/>
            <x v="6"/>
            <x v="12"/>
            <x v="13"/>
            <x v="14"/>
          </reference>
        </references>
      </pivotArea>
    </format>
    <format dxfId="2274">
      <pivotArea dataOnly="0" labelOnly="1" fieldPosition="0">
        <references count="2">
          <reference field="1" count="1" selected="0">
            <x v="1"/>
          </reference>
          <reference field="10" count="2">
            <x v="5"/>
            <x v="12"/>
          </reference>
        </references>
      </pivotArea>
    </format>
    <format dxfId="2273">
      <pivotArea dataOnly="0" labelOnly="1" fieldPosition="0">
        <references count="2">
          <reference field="1" count="1" selected="0">
            <x v="2"/>
          </reference>
          <reference field="10" count="1">
            <x v="37"/>
          </reference>
        </references>
      </pivotArea>
    </format>
    <format dxfId="2272">
      <pivotArea dataOnly="0" labelOnly="1" fieldPosition="0">
        <references count="2">
          <reference field="1" count="1" selected="0">
            <x v="3"/>
          </reference>
          <reference field="10" count="1">
            <x v="17"/>
          </reference>
        </references>
      </pivotArea>
    </format>
    <format dxfId="2271">
      <pivotArea dataOnly="0" labelOnly="1" fieldPosition="0">
        <references count="2">
          <reference field="1" count="1" selected="0">
            <x v="4"/>
          </reference>
          <reference field="10" count="3">
            <x v="2"/>
            <x v="8"/>
            <x v="29"/>
          </reference>
        </references>
      </pivotArea>
    </format>
    <format dxfId="2270">
      <pivotArea dataOnly="0" labelOnly="1" fieldPosition="0">
        <references count="2">
          <reference field="1" count="1" selected="0">
            <x v="5"/>
          </reference>
          <reference field="10" count="1">
            <x v="29"/>
          </reference>
        </references>
      </pivotArea>
    </format>
    <format dxfId="2269">
      <pivotArea dataOnly="0" labelOnly="1" fieldPosition="0">
        <references count="1">
          <reference field="12" count="0"/>
        </references>
      </pivotArea>
    </format>
    <format dxfId="2268">
      <pivotArea dataOnly="0" labelOnly="1" grandCol="1" outline="0" fieldPosition="0"/>
    </format>
    <format dxfId="2267">
      <pivotArea dataOnly="0" labelOnly="1" fieldPosition="0">
        <references count="1">
          <reference field="12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B5F99-C94B-4C5A-800B-85D52EECC7E3}" name="Tabela dinâmica3" cacheId="1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G4:H10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2"/>
        <item m="1" x="5"/>
        <item m="1" x="9"/>
        <item x="1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42">
        <item m="1" x="15"/>
        <item m="1" x="33"/>
        <item x="6"/>
        <item m="1" x="24"/>
        <item x="2"/>
        <item m="1" x="14"/>
        <item x="11"/>
        <item m="1" x="40"/>
        <item m="1" x="21"/>
        <item x="4"/>
        <item m="1" x="39"/>
        <item m="1" x="27"/>
        <item m="1" x="29"/>
        <item m="1" x="26"/>
        <item m="1" x="30"/>
        <item m="1" x="28"/>
        <item m="1" x="35"/>
        <item m="1" x="36"/>
        <item m="1" x="37"/>
        <item m="1" x="38"/>
        <item m="1" x="32"/>
        <item x="3"/>
        <item m="1" x="34"/>
        <item sd="0" x="0"/>
        <item m="1" x="20"/>
        <item m="1" x="31"/>
        <item x="7"/>
        <item m="1" x="25"/>
        <item m="1" x="23"/>
        <item m="1" x="13"/>
        <item m="1" x="19"/>
        <item x="1"/>
        <item m="1" x="22"/>
        <item m="1" x="18"/>
        <item m="1" x="16"/>
        <item x="8"/>
        <item m="1" x="17"/>
        <item m="1" x="12"/>
        <item x="5"/>
        <item x="9"/>
        <item x="10"/>
        <item t="default"/>
      </items>
    </pivotField>
    <pivotField showAll="0"/>
    <pivotField showAll="0"/>
    <pivotField showAll="0"/>
    <pivotField axis="axisRow" dataField="1" showAll="0">
      <items count="389">
        <item x="3"/>
        <item m="1" x="332"/>
        <item m="1" x="192"/>
        <item m="1" x="194"/>
        <item m="1" x="196"/>
        <item m="1" x="204"/>
        <item m="1" x="203"/>
        <item m="1" x="207"/>
        <item m="1" x="195"/>
        <item m="1" x="201"/>
        <item m="1" x="202"/>
        <item m="1" x="200"/>
        <item m="1" x="206"/>
        <item m="1" x="199"/>
        <item m="1" x="198"/>
        <item m="1" x="205"/>
        <item x="0"/>
        <item m="1" x="172"/>
        <item m="1" x="171"/>
        <item m="1" x="173"/>
        <item m="1" x="168"/>
        <item m="1" x="272"/>
        <item m="1" x="93"/>
        <item m="1" x="72"/>
        <item x="51"/>
        <item x="53"/>
        <item x="52"/>
        <item x="10"/>
        <item x="55"/>
        <item x="54"/>
        <item m="1" x="234"/>
        <item m="1" x="153"/>
        <item m="1" x="90"/>
        <item m="1" x="238"/>
        <item m="1" x="240"/>
        <item m="1" x="242"/>
        <item m="1" x="244"/>
        <item m="1" x="246"/>
        <item m="1" x="248"/>
        <item m="1" x="250"/>
        <item m="1" x="252"/>
        <item m="1" x="254"/>
        <item m="1" x="256"/>
        <item m="1" x="258"/>
        <item m="1" x="285"/>
        <item m="1" x="286"/>
        <item m="1" x="284"/>
        <item m="1" x="89"/>
        <item m="1" x="291"/>
        <item m="1" x="281"/>
        <item m="1" x="290"/>
        <item m="1" x="287"/>
        <item m="1" x="289"/>
        <item m="1" x="288"/>
        <item m="1" x="88"/>
        <item m="1" x="360"/>
        <item m="1" x="361"/>
        <item m="1" x="357"/>
        <item m="1" x="362"/>
        <item m="1" x="69"/>
        <item m="1" x="70"/>
        <item x="13"/>
        <item x="12"/>
        <item x="14"/>
        <item x="11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56"/>
        <item m="1" x="382"/>
        <item m="1" x="331"/>
        <item m="1" x="313"/>
        <item m="1" x="296"/>
        <item m="1" x="66"/>
        <item m="1" x="67"/>
        <item m="1" x="68"/>
        <item m="1" x="383"/>
        <item m="1" x="384"/>
        <item m="1" x="385"/>
        <item m="1" x="386"/>
        <item m="1" x="387"/>
        <item m="1" x="86"/>
        <item m="1" x="208"/>
        <item m="1" x="218"/>
        <item m="1" x="209"/>
        <item m="1" x="217"/>
        <item m="1" x="226"/>
        <item m="1" x="225"/>
        <item m="1" x="224"/>
        <item m="1" x="333"/>
        <item m="1" x="334"/>
        <item m="1" x="335"/>
        <item m="1" x="283"/>
        <item m="1" x="280"/>
        <item m="1" x="278"/>
        <item m="1" x="266"/>
        <item m="1" x="264"/>
        <item m="1" x="309"/>
        <item m="1" x="305"/>
        <item m="1" x="302"/>
        <item m="1" x="300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75"/>
        <item m="1" x="74"/>
        <item m="1" x="73"/>
        <item m="1" x="84"/>
        <item m="1" x="95"/>
        <item m="1" x="165"/>
        <item m="1" x="166"/>
        <item m="1" x="174"/>
        <item m="1" x="180"/>
        <item m="1" x="181"/>
        <item m="1" x="182"/>
        <item m="1" x="183"/>
        <item m="1" x="184"/>
        <item m="1" x="185"/>
        <item m="1" x="186"/>
        <item m="1" x="187"/>
        <item x="56"/>
        <item m="1" x="188"/>
        <item m="1" x="189"/>
        <item m="1" x="91"/>
        <item m="1" x="257"/>
        <item m="1" x="255"/>
        <item m="1" x="253"/>
        <item m="1" x="251"/>
        <item m="1" x="249"/>
        <item m="1" x="247"/>
        <item m="1" x="245"/>
        <item m="1" x="243"/>
        <item m="1" x="241"/>
        <item m="1" x="239"/>
        <item m="1" x="237"/>
        <item m="1" x="236"/>
        <item m="1" x="235"/>
        <item m="1" x="233"/>
        <item m="1" x="232"/>
        <item m="1" x="231"/>
        <item m="1" x="230"/>
        <item m="1" x="229"/>
        <item m="1" x="228"/>
        <item m="1" x="227"/>
        <item m="1" x="262"/>
        <item m="1" x="259"/>
        <item m="1" x="261"/>
        <item m="1" x="260"/>
        <item m="1" x="358"/>
        <item m="1" x="193"/>
        <item m="1" x="197"/>
        <item m="1" x="359"/>
        <item m="1" x="267"/>
        <item m="1" x="268"/>
        <item m="1" x="269"/>
        <item m="1" x="271"/>
        <item m="1" x="275"/>
        <item m="1" x="94"/>
        <item m="1" x="277"/>
        <item m="1" x="306"/>
        <item m="1" x="303"/>
        <item m="1" x="299"/>
        <item m="1" x="314"/>
        <item x="4"/>
        <item x="9"/>
        <item m="1" x="315"/>
        <item m="1" x="92"/>
        <item m="1" x="270"/>
        <item m="1" x="273"/>
        <item m="1" x="274"/>
        <item m="1" x="276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298"/>
        <item m="1" x="330"/>
        <item m="1" x="308"/>
        <item m="1" x="263"/>
        <item m="1" x="312"/>
        <item m="1" x="297"/>
        <item m="1" x="301"/>
        <item m="1" x="304"/>
        <item m="1" x="307"/>
        <item m="1" x="310"/>
        <item m="1" x="311"/>
        <item m="1" x="154"/>
        <item m="1" x="159"/>
        <item m="1" x="292"/>
        <item m="1" x="219"/>
        <item m="1" x="160"/>
        <item m="1" x="161"/>
        <item m="1" x="293"/>
        <item m="1" x="294"/>
        <item m="1" x="295"/>
        <item m="1" x="162"/>
        <item m="1" x="164"/>
        <item m="1" x="155"/>
        <item m="1" x="158"/>
        <item m="1" x="265"/>
        <item m="1" x="167"/>
        <item m="1" x="279"/>
        <item m="1" x="282"/>
        <item m="1" x="221"/>
        <item m="1" x="222"/>
        <item m="1" x="223"/>
        <item m="1" x="211"/>
        <item m="1" x="220"/>
        <item m="1" x="176"/>
        <item m="1" x="212"/>
        <item m="1" x="175"/>
        <item m="1" x="85"/>
        <item m="1" x="213"/>
        <item m="1" x="214"/>
        <item m="1" x="191"/>
        <item m="1" x="215"/>
        <item m="1" x="190"/>
        <item m="1" x="216"/>
        <item m="1" x="169"/>
        <item m="1" x="170"/>
        <item m="1" x="177"/>
        <item m="1" x="178"/>
        <item m="1" x="179"/>
        <item m="1" x="96"/>
        <item m="1" x="210"/>
        <item m="1" x="156"/>
        <item m="1" x="157"/>
        <item m="1" x="163"/>
        <item m="1" x="63"/>
        <item m="1" x="62"/>
        <item m="1" x="87"/>
        <item m="1" x="64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71"/>
        <item m="1" x="76"/>
        <item x="61"/>
        <item m="1" x="79"/>
        <item m="1" x="80"/>
        <item m="1" x="81"/>
        <item m="1" x="82"/>
        <item m="1" x="83"/>
        <item x="8"/>
        <item x="7"/>
        <item m="1" x="65"/>
        <item m="1" x="78"/>
        <item m="1" x="77"/>
        <item x="60"/>
        <item x="1"/>
        <item x="2"/>
        <item x="5"/>
        <item x="6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7"/>
        <item x="58"/>
        <item x="59"/>
        <item t="default"/>
      </items>
    </pivotField>
    <pivotField axis="axisRow" showAll="0">
      <items count="381">
        <item x="9"/>
        <item m="1" x="373"/>
        <item x="8"/>
        <item m="1" x="348"/>
        <item x="10"/>
        <item m="1" x="375"/>
        <item x="7"/>
        <item m="1" x="357"/>
        <item m="1" x="232"/>
        <item m="1" x="374"/>
        <item m="1" x="359"/>
        <item m="1" x="361"/>
        <item m="1" x="358"/>
        <item m="1" x="368"/>
        <item m="1" x="369"/>
        <item x="1"/>
        <item m="1" x="366"/>
        <item m="1" x="362"/>
        <item m="1" x="352"/>
        <item m="1" x="363"/>
        <item x="6"/>
        <item m="1" x="355"/>
        <item m="1" x="360"/>
        <item m="1" x="377"/>
        <item m="1" x="376"/>
        <item x="2"/>
        <item x="3"/>
        <item m="1" x="356"/>
        <item m="1" x="14"/>
        <item x="4"/>
        <item m="1" x="378"/>
        <item m="1" x="367"/>
        <item m="1" x="371"/>
        <item m="1" x="345"/>
        <item m="1" x="234"/>
        <item x="5"/>
        <item x="12"/>
        <item m="1" x="364"/>
        <item m="1" x="353"/>
        <item m="1" x="354"/>
        <item m="1" x="351"/>
        <item m="1" x="350"/>
        <item m="1" x="16"/>
        <item m="1" x="133"/>
        <item m="1" x="347"/>
        <item m="1" x="365"/>
        <item m="1" x="349"/>
        <item m="1" x="379"/>
        <item m="1" x="372"/>
        <item m="1" x="370"/>
        <item m="1" x="346"/>
        <item x="0"/>
        <item sd="0" m="1" x="132"/>
        <item m="1" x="137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156"/>
        <item m="1" x="157"/>
        <item m="1" x="158"/>
        <item m="1" x="159"/>
        <item m="1" x="273"/>
        <item m="1" x="160"/>
        <item m="1" x="274"/>
        <item m="1" x="181"/>
        <item m="1" x="176"/>
        <item m="1" x="171"/>
        <item m="1" x="166"/>
        <item m="1" x="275"/>
        <item m="1" x="276"/>
        <item m="1" x="136"/>
        <item m="1" x="277"/>
        <item m="1" x="278"/>
        <item m="1" x="279"/>
        <item m="1" x="280"/>
        <item m="1" x="222"/>
        <item m="1" x="223"/>
        <item m="1" x="35"/>
        <item m="1" x="221"/>
        <item m="1" x="220"/>
        <item m="1" x="215"/>
        <item m="1" x="198"/>
        <item m="1" x="204"/>
        <item m="1" x="210"/>
        <item m="1" x="186"/>
        <item m="1" x="192"/>
        <item m="1" x="161"/>
        <item m="1" x="151"/>
        <item m="1" x="146"/>
        <item m="1" x="281"/>
        <item m="1" x="142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28"/>
        <item m="1" x="327"/>
        <item m="1" x="328"/>
        <item m="1" x="29"/>
        <item m="1" x="30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163"/>
        <item m="1" x="162"/>
        <item m="1" x="165"/>
        <item m="1" x="164"/>
        <item m="1" x="152"/>
        <item m="1" x="153"/>
        <item m="1" x="155"/>
        <item m="1" x="154"/>
        <item m="1" x="149"/>
        <item m="1" x="150"/>
        <item m="1" x="147"/>
        <item m="1" x="148"/>
        <item m="1" x="144"/>
        <item m="1" x="145"/>
        <item m="1" x="143"/>
        <item m="1" x="24"/>
        <item m="1" x="233"/>
        <item m="1" x="138"/>
        <item m="1" x="139"/>
        <item m="1" x="140"/>
        <item m="1" x="141"/>
        <item m="1" x="37"/>
        <item m="1" x="167"/>
        <item m="1" x="168"/>
        <item m="1" x="169"/>
        <item m="1" x="170"/>
        <item m="1" x="172"/>
        <item m="1" x="173"/>
        <item m="1" x="174"/>
        <item m="1" x="175"/>
        <item m="1" x="177"/>
        <item m="1" x="178"/>
        <item m="1" x="179"/>
        <item m="1" x="180"/>
        <item m="1" x="182"/>
        <item m="1" x="183"/>
        <item m="1" x="184"/>
        <item m="1" x="185"/>
        <item m="1" x="187"/>
        <item m="1" x="188"/>
        <item m="1" x="189"/>
        <item m="1" x="190"/>
        <item m="1" x="191"/>
        <item m="1" x="193"/>
        <item m="1" x="194"/>
        <item m="1" x="195"/>
        <item m="1" x="196"/>
        <item m="1" x="197"/>
        <item m="1" x="199"/>
        <item m="1" x="200"/>
        <item m="1" x="201"/>
        <item m="1" x="202"/>
        <item m="1" x="203"/>
        <item m="1" x="205"/>
        <item m="1" x="206"/>
        <item m="1" x="207"/>
        <item m="1" x="208"/>
        <item m="1" x="209"/>
        <item m="1" x="211"/>
        <item m="1" x="212"/>
        <item m="1" x="213"/>
        <item m="1" x="214"/>
        <item m="1" x="216"/>
        <item m="1" x="217"/>
        <item m="1" x="218"/>
        <item m="1" x="219"/>
        <item m="1" x="38"/>
        <item m="1" x="41"/>
        <item m="1" x="40"/>
        <item m="1" x="39"/>
        <item m="1" x="44"/>
        <item m="1" x="43"/>
        <item m="1" x="45"/>
        <item m="1" x="46"/>
        <item m="1" x="50"/>
        <item m="1" x="49"/>
        <item m="1" x="48"/>
        <item m="1" x="47"/>
        <item m="1" x="53"/>
        <item m="1" x="52"/>
        <item m="1" x="54"/>
        <item m="1" x="51"/>
        <item m="1" x="58"/>
        <item m="1" x="57"/>
        <item m="1" x="59"/>
        <item m="1" x="60"/>
        <item m="1" x="224"/>
        <item m="1" x="225"/>
        <item m="1" x="226"/>
        <item m="1" x="227"/>
        <item m="1" x="228"/>
        <item m="1" x="229"/>
        <item m="1" x="230"/>
        <item m="1" x="231"/>
        <item m="1" x="55"/>
        <item m="1" x="56"/>
        <item m="1" x="131"/>
        <item m="1" x="134"/>
        <item m="1" x="135"/>
        <item m="1" x="17"/>
        <item m="1" x="18"/>
        <item m="1" x="19"/>
        <item m="1" x="20"/>
        <item m="1" x="21"/>
        <item m="1" x="22"/>
        <item m="1" x="23"/>
        <item m="1" x="25"/>
        <item m="1" x="26"/>
        <item m="1" x="27"/>
        <item m="1" x="31"/>
        <item m="1" x="32"/>
        <item m="1" x="33"/>
        <item m="1" x="34"/>
        <item m="1" x="36"/>
        <item m="1" x="42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"/>
        <item m="1" x="15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6">
    <i>
      <x v="2"/>
    </i>
    <i r="1">
      <x v="2"/>
    </i>
    <i r="2">
      <x v="24"/>
    </i>
    <i r="1">
      <x v="6"/>
    </i>
    <i r="2">
      <x v="24"/>
    </i>
    <i t="grand">
      <x/>
    </i>
  </rowItems>
  <colItems count="1">
    <i/>
  </colItems>
  <pageFields count="1">
    <pageField fld="1" item="3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F6FA-5B22-40E7-A9D6-1242EEC70238}" name="Tabela dinâmica2" cacheId="1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D4:E28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2"/>
        <item m="1" x="5"/>
        <item m="1" x="9"/>
        <item x="1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42">
        <item m="1" x="15"/>
        <item m="1" x="33"/>
        <item x="6"/>
        <item m="1" x="24"/>
        <item x="2"/>
        <item m="1" x="14"/>
        <item x="11"/>
        <item m="1" x="40"/>
        <item m="1" x="21"/>
        <item x="4"/>
        <item m="1" x="39"/>
        <item m="1" x="27"/>
        <item m="1" x="29"/>
        <item m="1" x="26"/>
        <item m="1" x="30"/>
        <item m="1" x="28"/>
        <item m="1" x="35"/>
        <item m="1" x="36"/>
        <item m="1" x="37"/>
        <item m="1" x="38"/>
        <item sd="0" m="1" x="32"/>
        <item x="3"/>
        <item m="1" x="34"/>
        <item sd="0" x="0"/>
        <item m="1" x="20"/>
        <item m="1" x="31"/>
        <item x="7"/>
        <item m="1" x="25"/>
        <item m="1" x="23"/>
        <item m="1" x="13"/>
        <item m="1" x="19"/>
        <item x="1"/>
        <item m="1" x="22"/>
        <item m="1" x="18"/>
        <item m="1" x="16"/>
        <item x="8"/>
        <item m="1" x="17"/>
        <item m="1" x="12"/>
        <item x="5"/>
        <item x="9"/>
        <item x="10"/>
        <item t="default"/>
      </items>
    </pivotField>
    <pivotField showAll="0"/>
    <pivotField showAll="0"/>
    <pivotField showAll="0"/>
    <pivotField axis="axisRow" dataField="1" showAll="0">
      <items count="389">
        <item x="3"/>
        <item m="1" x="332"/>
        <item m="1" x="192"/>
        <item m="1" x="194"/>
        <item m="1" x="196"/>
        <item m="1" x="204"/>
        <item m="1" x="203"/>
        <item m="1" x="207"/>
        <item m="1" x="195"/>
        <item m="1" x="201"/>
        <item m="1" x="202"/>
        <item m="1" x="200"/>
        <item m="1" x="206"/>
        <item m="1" x="199"/>
        <item m="1" x="198"/>
        <item m="1" x="205"/>
        <item x="0"/>
        <item m="1" x="172"/>
        <item m="1" x="171"/>
        <item m="1" x="173"/>
        <item m="1" x="168"/>
        <item m="1" x="272"/>
        <item m="1" x="93"/>
        <item m="1" x="72"/>
        <item x="51"/>
        <item x="53"/>
        <item x="52"/>
        <item x="10"/>
        <item x="55"/>
        <item x="54"/>
        <item m="1" x="234"/>
        <item m="1" x="153"/>
        <item m="1" x="90"/>
        <item m="1" x="238"/>
        <item m="1" x="240"/>
        <item m="1" x="242"/>
        <item m="1" x="244"/>
        <item m="1" x="246"/>
        <item m="1" x="248"/>
        <item m="1" x="250"/>
        <item m="1" x="252"/>
        <item m="1" x="254"/>
        <item m="1" x="256"/>
        <item m="1" x="258"/>
        <item m="1" x="285"/>
        <item m="1" x="286"/>
        <item m="1" x="284"/>
        <item m="1" x="89"/>
        <item m="1" x="291"/>
        <item m="1" x="281"/>
        <item m="1" x="290"/>
        <item m="1" x="287"/>
        <item m="1" x="289"/>
        <item m="1" x="288"/>
        <item m="1" x="88"/>
        <item m="1" x="360"/>
        <item m="1" x="361"/>
        <item m="1" x="357"/>
        <item m="1" x="362"/>
        <item m="1" x="69"/>
        <item m="1" x="70"/>
        <item x="13"/>
        <item x="12"/>
        <item x="14"/>
        <item x="11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56"/>
        <item m="1" x="382"/>
        <item m="1" x="331"/>
        <item m="1" x="313"/>
        <item m="1" x="296"/>
        <item m="1" x="66"/>
        <item m="1" x="67"/>
        <item m="1" x="68"/>
        <item m="1" x="383"/>
        <item m="1" x="384"/>
        <item m="1" x="385"/>
        <item m="1" x="386"/>
        <item m="1" x="387"/>
        <item m="1" x="86"/>
        <item m="1" x="208"/>
        <item m="1" x="218"/>
        <item m="1" x="209"/>
        <item m="1" x="217"/>
        <item m="1" x="226"/>
        <item m="1" x="225"/>
        <item m="1" x="224"/>
        <item m="1" x="333"/>
        <item m="1" x="334"/>
        <item m="1" x="335"/>
        <item m="1" x="283"/>
        <item m="1" x="280"/>
        <item m="1" x="278"/>
        <item m="1" x="266"/>
        <item m="1" x="264"/>
        <item m="1" x="309"/>
        <item m="1" x="305"/>
        <item m="1" x="302"/>
        <item m="1" x="300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75"/>
        <item m="1" x="74"/>
        <item m="1" x="73"/>
        <item m="1" x="84"/>
        <item m="1" x="95"/>
        <item m="1" x="165"/>
        <item m="1" x="166"/>
        <item m="1" x="174"/>
        <item m="1" x="180"/>
        <item m="1" x="181"/>
        <item m="1" x="182"/>
        <item m="1" x="183"/>
        <item m="1" x="184"/>
        <item m="1" x="185"/>
        <item m="1" x="186"/>
        <item m="1" x="187"/>
        <item x="56"/>
        <item m="1" x="188"/>
        <item m="1" x="189"/>
        <item m="1" x="91"/>
        <item m="1" x="257"/>
        <item m="1" x="255"/>
        <item m="1" x="253"/>
        <item m="1" x="251"/>
        <item m="1" x="249"/>
        <item m="1" x="247"/>
        <item m="1" x="245"/>
        <item m="1" x="243"/>
        <item m="1" x="241"/>
        <item m="1" x="239"/>
        <item m="1" x="237"/>
        <item m="1" x="236"/>
        <item m="1" x="235"/>
        <item m="1" x="233"/>
        <item m="1" x="232"/>
        <item m="1" x="231"/>
        <item m="1" x="230"/>
        <item m="1" x="229"/>
        <item m="1" x="228"/>
        <item m="1" x="227"/>
        <item m="1" x="262"/>
        <item m="1" x="259"/>
        <item m="1" x="261"/>
        <item m="1" x="260"/>
        <item m="1" x="358"/>
        <item m="1" x="193"/>
        <item m="1" x="197"/>
        <item m="1" x="359"/>
        <item m="1" x="267"/>
        <item m="1" x="268"/>
        <item m="1" x="269"/>
        <item m="1" x="271"/>
        <item m="1" x="275"/>
        <item m="1" x="94"/>
        <item m="1" x="277"/>
        <item m="1" x="306"/>
        <item m="1" x="303"/>
        <item m="1" x="299"/>
        <item m="1" x="314"/>
        <item x="4"/>
        <item x="9"/>
        <item m="1" x="315"/>
        <item m="1" x="92"/>
        <item m="1" x="270"/>
        <item m="1" x="273"/>
        <item m="1" x="274"/>
        <item m="1" x="276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298"/>
        <item m="1" x="330"/>
        <item m="1" x="308"/>
        <item m="1" x="263"/>
        <item m="1" x="312"/>
        <item m="1" x="297"/>
        <item m="1" x="301"/>
        <item m="1" x="304"/>
        <item m="1" x="307"/>
        <item m="1" x="310"/>
        <item m="1" x="311"/>
        <item m="1" x="154"/>
        <item m="1" x="159"/>
        <item m="1" x="292"/>
        <item m="1" x="219"/>
        <item m="1" x="160"/>
        <item m="1" x="161"/>
        <item m="1" x="293"/>
        <item m="1" x="294"/>
        <item m="1" x="295"/>
        <item m="1" x="162"/>
        <item m="1" x="164"/>
        <item m="1" x="155"/>
        <item m="1" x="158"/>
        <item m="1" x="265"/>
        <item m="1" x="167"/>
        <item m="1" x="279"/>
        <item m="1" x="282"/>
        <item m="1" x="221"/>
        <item m="1" x="222"/>
        <item m="1" x="223"/>
        <item m="1" x="211"/>
        <item m="1" x="220"/>
        <item m="1" x="176"/>
        <item m="1" x="212"/>
        <item m="1" x="175"/>
        <item m="1" x="85"/>
        <item m="1" x="213"/>
        <item m="1" x="214"/>
        <item m="1" x="191"/>
        <item m="1" x="215"/>
        <item m="1" x="190"/>
        <item m="1" x="216"/>
        <item m="1" x="169"/>
        <item m="1" x="170"/>
        <item m="1" x="177"/>
        <item m="1" x="178"/>
        <item m="1" x="179"/>
        <item m="1" x="96"/>
        <item m="1" x="210"/>
        <item m="1" x="156"/>
        <item m="1" x="157"/>
        <item m="1" x="163"/>
        <item m="1" x="63"/>
        <item m="1" x="62"/>
        <item m="1" x="87"/>
        <item m="1" x="64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71"/>
        <item m="1" x="76"/>
        <item x="61"/>
        <item m="1" x="79"/>
        <item m="1" x="80"/>
        <item m="1" x="81"/>
        <item m="1" x="82"/>
        <item m="1" x="83"/>
        <item x="8"/>
        <item x="7"/>
        <item m="1" x="65"/>
        <item m="1" x="78"/>
        <item m="1" x="77"/>
        <item x="60"/>
        <item x="1"/>
        <item x="2"/>
        <item x="5"/>
        <item x="6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7"/>
        <item x="58"/>
        <item x="59"/>
        <item t="default"/>
      </items>
    </pivotField>
    <pivotField axis="axisRow" showAll="0">
      <items count="381">
        <item x="9"/>
        <item m="1" x="373"/>
        <item x="8"/>
        <item m="1" x="348"/>
        <item x="10"/>
        <item m="1" x="375"/>
        <item x="7"/>
        <item m="1" x="357"/>
        <item m="1" x="232"/>
        <item m="1" x="374"/>
        <item m="1" x="359"/>
        <item m="1" x="361"/>
        <item m="1" x="358"/>
        <item m="1" x="368"/>
        <item m="1" x="369"/>
        <item x="1"/>
        <item m="1" x="366"/>
        <item m="1" x="362"/>
        <item m="1" x="352"/>
        <item m="1" x="363"/>
        <item x="6"/>
        <item m="1" x="355"/>
        <item m="1" x="360"/>
        <item m="1" x="377"/>
        <item m="1" x="376"/>
        <item x="2"/>
        <item x="3"/>
        <item m="1" x="356"/>
        <item m="1" x="14"/>
        <item x="4"/>
        <item m="1" x="378"/>
        <item m="1" x="367"/>
        <item m="1" x="371"/>
        <item m="1" x="345"/>
        <item m="1" x="234"/>
        <item x="5"/>
        <item x="12"/>
        <item m="1" x="364"/>
        <item m="1" x="353"/>
        <item m="1" x="354"/>
        <item m="1" x="351"/>
        <item m="1" x="350"/>
        <item m="1" x="16"/>
        <item m="1" x="133"/>
        <item m="1" x="347"/>
        <item m="1" x="365"/>
        <item m="1" x="349"/>
        <item m="1" x="379"/>
        <item m="1" x="372"/>
        <item m="1" x="370"/>
        <item m="1" x="346"/>
        <item sd="0" x="0"/>
        <item m="1" x="132"/>
        <item m="1" x="137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156"/>
        <item m="1" x="157"/>
        <item m="1" x="158"/>
        <item m="1" x="159"/>
        <item m="1" x="273"/>
        <item m="1" x="160"/>
        <item m="1" x="274"/>
        <item m="1" x="181"/>
        <item m="1" x="176"/>
        <item m="1" x="171"/>
        <item m="1" x="166"/>
        <item m="1" x="275"/>
        <item m="1" x="276"/>
        <item m="1" x="136"/>
        <item m="1" x="277"/>
        <item m="1" x="278"/>
        <item m="1" x="279"/>
        <item m="1" x="280"/>
        <item m="1" x="222"/>
        <item m="1" x="223"/>
        <item m="1" x="35"/>
        <item m="1" x="221"/>
        <item m="1" x="220"/>
        <item m="1" x="215"/>
        <item m="1" x="198"/>
        <item m="1" x="204"/>
        <item m="1" x="210"/>
        <item m="1" x="186"/>
        <item m="1" x="192"/>
        <item m="1" x="161"/>
        <item m="1" x="151"/>
        <item m="1" x="146"/>
        <item m="1" x="281"/>
        <item m="1" x="142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28"/>
        <item m="1" x="327"/>
        <item m="1" x="328"/>
        <item m="1" x="29"/>
        <item m="1" x="30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163"/>
        <item m="1" x="162"/>
        <item m="1" x="165"/>
        <item m="1" x="164"/>
        <item m="1" x="152"/>
        <item m="1" x="153"/>
        <item m="1" x="155"/>
        <item m="1" x="154"/>
        <item m="1" x="149"/>
        <item m="1" x="150"/>
        <item m="1" x="147"/>
        <item m="1" x="148"/>
        <item m="1" x="144"/>
        <item m="1" x="145"/>
        <item m="1" x="143"/>
        <item m="1" x="24"/>
        <item m="1" x="233"/>
        <item m="1" x="138"/>
        <item m="1" x="139"/>
        <item m="1" x="140"/>
        <item m="1" x="141"/>
        <item m="1" x="37"/>
        <item m="1" x="167"/>
        <item m="1" x="168"/>
        <item m="1" x="169"/>
        <item m="1" x="170"/>
        <item m="1" x="172"/>
        <item m="1" x="173"/>
        <item m="1" x="174"/>
        <item m="1" x="175"/>
        <item m="1" x="177"/>
        <item m="1" x="178"/>
        <item m="1" x="179"/>
        <item m="1" x="180"/>
        <item m="1" x="182"/>
        <item m="1" x="183"/>
        <item m="1" x="184"/>
        <item m="1" x="185"/>
        <item m="1" x="187"/>
        <item m="1" x="188"/>
        <item m="1" x="189"/>
        <item m="1" x="190"/>
        <item m="1" x="191"/>
        <item m="1" x="193"/>
        <item m="1" x="194"/>
        <item m="1" x="195"/>
        <item m="1" x="196"/>
        <item m="1" x="197"/>
        <item m="1" x="199"/>
        <item m="1" x="200"/>
        <item m="1" x="201"/>
        <item m="1" x="202"/>
        <item m="1" x="203"/>
        <item m="1" x="205"/>
        <item m="1" x="206"/>
        <item m="1" x="207"/>
        <item m="1" x="208"/>
        <item m="1" x="209"/>
        <item m="1" x="211"/>
        <item m="1" x="212"/>
        <item m="1" x="213"/>
        <item m="1" x="214"/>
        <item m="1" x="216"/>
        <item m="1" x="217"/>
        <item m="1" x="218"/>
        <item m="1" x="219"/>
        <item m="1" x="38"/>
        <item m="1" x="41"/>
        <item m="1" x="40"/>
        <item m="1" x="39"/>
        <item m="1" x="44"/>
        <item m="1" x="43"/>
        <item m="1" x="45"/>
        <item m="1" x="46"/>
        <item m="1" x="50"/>
        <item m="1" x="49"/>
        <item m="1" x="48"/>
        <item m="1" x="47"/>
        <item m="1" x="53"/>
        <item m="1" x="52"/>
        <item m="1" x="54"/>
        <item m="1" x="51"/>
        <item m="1" x="58"/>
        <item m="1" x="57"/>
        <item m="1" x="59"/>
        <item m="1" x="60"/>
        <item m="1" x="224"/>
        <item m="1" x="225"/>
        <item m="1" x="226"/>
        <item m="1" x="227"/>
        <item m="1" x="228"/>
        <item m="1" x="229"/>
        <item m="1" x="230"/>
        <item m="1" x="231"/>
        <item m="1" x="55"/>
        <item m="1" x="56"/>
        <item m="1" x="131"/>
        <item m="1" x="134"/>
        <item m="1" x="135"/>
        <item m="1" x="17"/>
        <item m="1" x="18"/>
        <item m="1" x="19"/>
        <item m="1" x="20"/>
        <item m="1" x="21"/>
        <item m="1" x="22"/>
        <item m="1" x="23"/>
        <item m="1" x="25"/>
        <item m="1" x="26"/>
        <item m="1" x="27"/>
        <item m="1" x="31"/>
        <item m="1" x="32"/>
        <item m="1" x="33"/>
        <item m="1" x="34"/>
        <item m="1" x="36"/>
        <item m="1" x="42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"/>
        <item m="1" x="15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24">
    <i>
      <x v="6"/>
    </i>
    <i r="1">
      <x v="36"/>
    </i>
    <i r="2">
      <x v="24"/>
    </i>
    <i r="2">
      <x v="25"/>
    </i>
    <i r="2">
      <x v="26"/>
    </i>
    <i r="2">
      <x v="27"/>
    </i>
    <i r="2">
      <x v="333"/>
    </i>
    <i r="2">
      <x v="344"/>
    </i>
    <i r="2">
      <x v="386"/>
    </i>
    <i r="2">
      <x v="387"/>
    </i>
    <i>
      <x v="23"/>
    </i>
    <i>
      <x v="35"/>
    </i>
    <i r="1">
      <x v="4"/>
    </i>
    <i r="2">
      <x v="153"/>
    </i>
    <i>
      <x v="39"/>
    </i>
    <i r="1">
      <x v="15"/>
    </i>
    <i r="2">
      <x v="24"/>
    </i>
    <i r="2">
      <x v="25"/>
    </i>
    <i r="2">
      <x v="26"/>
    </i>
    <i r="2">
      <x v="27"/>
    </i>
    <i>
      <x v="40"/>
    </i>
    <i r="1">
      <x v="379"/>
    </i>
    <i r="2">
      <x/>
    </i>
    <i t="grand">
      <x/>
    </i>
  </rowItems>
  <colItems count="1">
    <i/>
  </colItems>
  <pageFields count="1">
    <pageField fld="1" item="6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53CD-0897-4E01-84C0-378DF7AED7CE}" name="Tabela dinâmica1" cacheId="1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tividade">
  <location ref="A4:B26" firstHeaderRow="1" firstDataRow="1" firstDataCol="1" rowPageCount="1" colPageCount="1"/>
  <pivotFields count="23">
    <pivotField showAll="0"/>
    <pivotField axis="axisPage" showAll="0">
      <items count="11">
        <item x="0"/>
        <item m="1" x="6"/>
        <item m="1" x="4"/>
        <item x="2"/>
        <item m="1" x="5"/>
        <item m="1" x="9"/>
        <item x="1"/>
        <item m="1" x="7"/>
        <item m="1" x="8"/>
        <item m="1" x="3"/>
        <item t="default"/>
      </items>
    </pivotField>
    <pivotField showAll="0"/>
    <pivotField showAll="0"/>
    <pivotField showAll="0"/>
    <pivotField axis="axisRow" showAll="0">
      <items count="42">
        <item m="1" x="15"/>
        <item m="1" x="33"/>
        <item x="6"/>
        <item m="1" x="24"/>
        <item x="2"/>
        <item m="1" x="14"/>
        <item x="11"/>
        <item m="1" x="40"/>
        <item m="1" x="21"/>
        <item x="4"/>
        <item m="1" x="39"/>
        <item m="1" x="27"/>
        <item m="1" x="29"/>
        <item m="1" x="26"/>
        <item m="1" x="30"/>
        <item m="1" x="28"/>
        <item m="1" x="35"/>
        <item m="1" x="36"/>
        <item m="1" x="37"/>
        <item m="1" x="38"/>
        <item sd="0" m="1" x="32"/>
        <item x="3"/>
        <item m="1" x="34"/>
        <item sd="0" x="0"/>
        <item m="1" x="20"/>
        <item m="1" x="31"/>
        <item x="7"/>
        <item m="1" x="25"/>
        <item m="1" x="23"/>
        <item m="1" x="13"/>
        <item m="1" x="19"/>
        <item x="1"/>
        <item m="1" x="22"/>
        <item m="1" x="18"/>
        <item m="1" x="16"/>
        <item x="8"/>
        <item m="1" x="17"/>
        <item m="1" x="12"/>
        <item sd="0" x="5"/>
        <item x="9"/>
        <item x="10"/>
        <item t="default"/>
      </items>
    </pivotField>
    <pivotField showAll="0"/>
    <pivotField showAll="0"/>
    <pivotField showAll="0"/>
    <pivotField axis="axisRow" dataField="1" showAll="0">
      <items count="389">
        <item x="3"/>
        <item m="1" x="332"/>
        <item m="1" x="192"/>
        <item m="1" x="194"/>
        <item m="1" x="196"/>
        <item m="1" x="204"/>
        <item m="1" x="203"/>
        <item m="1" x="207"/>
        <item m="1" x="195"/>
        <item m="1" x="201"/>
        <item m="1" x="202"/>
        <item m="1" x="200"/>
        <item m="1" x="206"/>
        <item m="1" x="199"/>
        <item m="1" x="198"/>
        <item m="1" x="205"/>
        <item x="0"/>
        <item m="1" x="172"/>
        <item m="1" x="171"/>
        <item m="1" x="173"/>
        <item m="1" x="168"/>
        <item m="1" x="272"/>
        <item m="1" x="93"/>
        <item m="1" x="72"/>
        <item x="51"/>
        <item x="53"/>
        <item x="52"/>
        <item x="10"/>
        <item x="55"/>
        <item x="54"/>
        <item m="1" x="234"/>
        <item m="1" x="153"/>
        <item m="1" x="90"/>
        <item m="1" x="238"/>
        <item m="1" x="240"/>
        <item m="1" x="242"/>
        <item m="1" x="244"/>
        <item m="1" x="246"/>
        <item m="1" x="248"/>
        <item m="1" x="250"/>
        <item m="1" x="252"/>
        <item m="1" x="254"/>
        <item m="1" x="256"/>
        <item m="1" x="258"/>
        <item m="1" x="285"/>
        <item m="1" x="286"/>
        <item m="1" x="284"/>
        <item m="1" x="89"/>
        <item m="1" x="291"/>
        <item m="1" x="281"/>
        <item m="1" x="290"/>
        <item m="1" x="287"/>
        <item m="1" x="289"/>
        <item m="1" x="288"/>
        <item m="1" x="88"/>
        <item m="1" x="360"/>
        <item m="1" x="361"/>
        <item m="1" x="357"/>
        <item m="1" x="362"/>
        <item m="1" x="69"/>
        <item m="1" x="70"/>
        <item x="13"/>
        <item x="12"/>
        <item x="14"/>
        <item x="11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56"/>
        <item m="1" x="382"/>
        <item m="1" x="331"/>
        <item m="1" x="313"/>
        <item m="1" x="296"/>
        <item m="1" x="66"/>
        <item m="1" x="67"/>
        <item m="1" x="68"/>
        <item m="1" x="383"/>
        <item m="1" x="384"/>
        <item m="1" x="385"/>
        <item m="1" x="386"/>
        <item m="1" x="387"/>
        <item m="1" x="86"/>
        <item m="1" x="208"/>
        <item m="1" x="218"/>
        <item m="1" x="209"/>
        <item m="1" x="217"/>
        <item m="1" x="226"/>
        <item m="1" x="225"/>
        <item m="1" x="224"/>
        <item m="1" x="333"/>
        <item m="1" x="334"/>
        <item m="1" x="335"/>
        <item m="1" x="283"/>
        <item m="1" x="280"/>
        <item m="1" x="278"/>
        <item m="1" x="266"/>
        <item m="1" x="264"/>
        <item m="1" x="309"/>
        <item m="1" x="305"/>
        <item m="1" x="302"/>
        <item m="1" x="300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75"/>
        <item m="1" x="74"/>
        <item m="1" x="73"/>
        <item m="1" x="84"/>
        <item m="1" x="95"/>
        <item m="1" x="165"/>
        <item m="1" x="166"/>
        <item m="1" x="174"/>
        <item m="1" x="180"/>
        <item m="1" x="181"/>
        <item m="1" x="182"/>
        <item m="1" x="183"/>
        <item m="1" x="184"/>
        <item m="1" x="185"/>
        <item m="1" x="186"/>
        <item m="1" x="187"/>
        <item x="56"/>
        <item m="1" x="188"/>
        <item m="1" x="189"/>
        <item m="1" x="91"/>
        <item m="1" x="257"/>
        <item m="1" x="255"/>
        <item m="1" x="253"/>
        <item m="1" x="251"/>
        <item m="1" x="249"/>
        <item m="1" x="247"/>
        <item m="1" x="245"/>
        <item m="1" x="243"/>
        <item m="1" x="241"/>
        <item m="1" x="239"/>
        <item m="1" x="237"/>
        <item m="1" x="236"/>
        <item m="1" x="235"/>
        <item m="1" x="233"/>
        <item m="1" x="232"/>
        <item m="1" x="231"/>
        <item m="1" x="230"/>
        <item m="1" x="229"/>
        <item m="1" x="228"/>
        <item m="1" x="227"/>
        <item m="1" x="262"/>
        <item m="1" x="259"/>
        <item m="1" x="261"/>
        <item m="1" x="260"/>
        <item m="1" x="358"/>
        <item m="1" x="193"/>
        <item m="1" x="197"/>
        <item m="1" x="359"/>
        <item m="1" x="267"/>
        <item m="1" x="268"/>
        <item m="1" x="269"/>
        <item m="1" x="271"/>
        <item m="1" x="275"/>
        <item m="1" x="94"/>
        <item m="1" x="277"/>
        <item m="1" x="306"/>
        <item m="1" x="303"/>
        <item m="1" x="299"/>
        <item m="1" x="314"/>
        <item x="4"/>
        <item x="9"/>
        <item m="1" x="315"/>
        <item m="1" x="92"/>
        <item m="1" x="270"/>
        <item m="1" x="273"/>
        <item m="1" x="274"/>
        <item m="1" x="276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298"/>
        <item m="1" x="330"/>
        <item m="1" x="308"/>
        <item m="1" x="263"/>
        <item m="1" x="312"/>
        <item m="1" x="297"/>
        <item m="1" x="301"/>
        <item m="1" x="304"/>
        <item m="1" x="307"/>
        <item m="1" x="310"/>
        <item m="1" x="311"/>
        <item m="1" x="154"/>
        <item m="1" x="159"/>
        <item m="1" x="292"/>
        <item m="1" x="219"/>
        <item m="1" x="160"/>
        <item m="1" x="161"/>
        <item m="1" x="293"/>
        <item m="1" x="294"/>
        <item m="1" x="295"/>
        <item m="1" x="162"/>
        <item m="1" x="164"/>
        <item m="1" x="155"/>
        <item m="1" x="158"/>
        <item m="1" x="265"/>
        <item m="1" x="167"/>
        <item m="1" x="279"/>
        <item m="1" x="282"/>
        <item m="1" x="221"/>
        <item m="1" x="222"/>
        <item m="1" x="223"/>
        <item m="1" x="211"/>
        <item m="1" x="220"/>
        <item m="1" x="176"/>
        <item m="1" x="212"/>
        <item m="1" x="175"/>
        <item m="1" x="85"/>
        <item m="1" x="213"/>
        <item m="1" x="214"/>
        <item m="1" x="191"/>
        <item m="1" x="215"/>
        <item m="1" x="190"/>
        <item m="1" x="216"/>
        <item m="1" x="169"/>
        <item m="1" x="170"/>
        <item m="1" x="177"/>
        <item m="1" x="178"/>
        <item m="1" x="179"/>
        <item m="1" x="96"/>
        <item m="1" x="210"/>
        <item m="1" x="156"/>
        <item m="1" x="157"/>
        <item m="1" x="163"/>
        <item m="1" x="63"/>
        <item m="1" x="62"/>
        <item m="1" x="87"/>
        <item m="1" x="64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71"/>
        <item m="1" x="76"/>
        <item x="61"/>
        <item m="1" x="79"/>
        <item m="1" x="80"/>
        <item m="1" x="81"/>
        <item m="1" x="82"/>
        <item m="1" x="83"/>
        <item x="8"/>
        <item x="7"/>
        <item m="1" x="65"/>
        <item m="1" x="78"/>
        <item m="1" x="77"/>
        <item x="60"/>
        <item x="1"/>
        <item x="2"/>
        <item x="5"/>
        <item x="6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7"/>
        <item x="58"/>
        <item x="59"/>
        <item t="default"/>
      </items>
    </pivotField>
    <pivotField axis="axisRow" showAll="0">
      <items count="381">
        <item x="9"/>
        <item m="1" x="373"/>
        <item x="8"/>
        <item sd="0" m="1" x="348"/>
        <item x="10"/>
        <item m="1" x="375"/>
        <item x="7"/>
        <item m="1" x="357"/>
        <item m="1" x="232"/>
        <item m="1" x="374"/>
        <item m="1" x="359"/>
        <item m="1" x="361"/>
        <item m="1" x="358"/>
        <item m="1" x="368"/>
        <item m="1" x="369"/>
        <item x="1"/>
        <item m="1" x="366"/>
        <item m="1" x="362"/>
        <item m="1" x="352"/>
        <item m="1" x="363"/>
        <item x="6"/>
        <item m="1" x="355"/>
        <item m="1" x="360"/>
        <item m="1" x="377"/>
        <item m="1" x="376"/>
        <item sd="0" x="2"/>
        <item x="3"/>
        <item m="1" x="356"/>
        <item sd="0" m="1" x="14"/>
        <item sd="0" x="4"/>
        <item m="1" x="378"/>
        <item m="1" x="367"/>
        <item m="1" x="371"/>
        <item sd="0" m="1" x="345"/>
        <item sd="0" m="1" x="234"/>
        <item x="5"/>
        <item x="12"/>
        <item m="1" x="364"/>
        <item m="1" x="353"/>
        <item m="1" x="354"/>
        <item m="1" x="351"/>
        <item m="1" x="350"/>
        <item m="1" x="16"/>
        <item sd="0" m="1" x="133"/>
        <item m="1" x="347"/>
        <item m="1" x="365"/>
        <item m="1" x="349"/>
        <item m="1" x="379"/>
        <item m="1" x="372"/>
        <item m="1" x="370"/>
        <item m="1" x="346"/>
        <item sd="0" x="0"/>
        <item m="1" x="132"/>
        <item m="1" x="137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156"/>
        <item m="1" x="157"/>
        <item m="1" x="158"/>
        <item m="1" x="159"/>
        <item m="1" x="273"/>
        <item m="1" x="160"/>
        <item m="1" x="274"/>
        <item m="1" x="181"/>
        <item m="1" x="176"/>
        <item m="1" x="171"/>
        <item m="1" x="166"/>
        <item m="1" x="275"/>
        <item m="1" x="276"/>
        <item m="1" x="136"/>
        <item m="1" x="277"/>
        <item m="1" x="278"/>
        <item m="1" x="279"/>
        <item m="1" x="280"/>
        <item m="1" x="222"/>
        <item m="1" x="223"/>
        <item m="1" x="35"/>
        <item m="1" x="221"/>
        <item m="1" x="220"/>
        <item m="1" x="215"/>
        <item m="1" x="198"/>
        <item m="1" x="204"/>
        <item m="1" x="210"/>
        <item m="1" x="186"/>
        <item m="1" x="192"/>
        <item m="1" x="161"/>
        <item m="1" x="151"/>
        <item m="1" x="146"/>
        <item m="1" x="281"/>
        <item m="1" x="142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28"/>
        <item m="1" x="327"/>
        <item m="1" x="328"/>
        <item m="1" x="29"/>
        <item m="1" x="30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163"/>
        <item m="1" x="162"/>
        <item m="1" x="165"/>
        <item m="1" x="164"/>
        <item m="1" x="152"/>
        <item m="1" x="153"/>
        <item m="1" x="155"/>
        <item m="1" x="154"/>
        <item m="1" x="149"/>
        <item m="1" x="150"/>
        <item m="1" x="147"/>
        <item m="1" x="148"/>
        <item m="1" x="144"/>
        <item m="1" x="145"/>
        <item m="1" x="143"/>
        <item m="1" x="24"/>
        <item m="1" x="233"/>
        <item m="1" x="138"/>
        <item m="1" x="139"/>
        <item m="1" x="140"/>
        <item m="1" x="141"/>
        <item m="1" x="37"/>
        <item m="1" x="167"/>
        <item m="1" x="168"/>
        <item m="1" x="169"/>
        <item m="1" x="170"/>
        <item m="1" x="172"/>
        <item m="1" x="173"/>
        <item m="1" x="174"/>
        <item m="1" x="175"/>
        <item m="1" x="177"/>
        <item m="1" x="178"/>
        <item m="1" x="179"/>
        <item m="1" x="180"/>
        <item m="1" x="182"/>
        <item m="1" x="183"/>
        <item m="1" x="184"/>
        <item m="1" x="185"/>
        <item m="1" x="187"/>
        <item m="1" x="188"/>
        <item m="1" x="189"/>
        <item m="1" x="190"/>
        <item m="1" x="191"/>
        <item m="1" x="193"/>
        <item m="1" x="194"/>
        <item m="1" x="195"/>
        <item m="1" x="196"/>
        <item m="1" x="197"/>
        <item m="1" x="199"/>
        <item m="1" x="200"/>
        <item m="1" x="201"/>
        <item m="1" x="202"/>
        <item m="1" x="203"/>
        <item m="1" x="205"/>
        <item m="1" x="206"/>
        <item m="1" x="207"/>
        <item m="1" x="208"/>
        <item m="1" x="209"/>
        <item m="1" x="211"/>
        <item m="1" x="212"/>
        <item m="1" x="213"/>
        <item m="1" x="214"/>
        <item m="1" x="216"/>
        <item m="1" x="217"/>
        <item m="1" x="218"/>
        <item m="1" x="219"/>
        <item m="1" x="38"/>
        <item m="1" x="41"/>
        <item m="1" x="40"/>
        <item m="1" x="39"/>
        <item m="1" x="44"/>
        <item m="1" x="43"/>
        <item m="1" x="45"/>
        <item m="1" x="46"/>
        <item m="1" x="50"/>
        <item m="1" x="49"/>
        <item m="1" x="48"/>
        <item m="1" x="47"/>
        <item m="1" x="53"/>
        <item m="1" x="52"/>
        <item m="1" x="54"/>
        <item m="1" x="51"/>
        <item m="1" x="58"/>
        <item m="1" x="57"/>
        <item m="1" x="59"/>
        <item m="1" x="60"/>
        <item m="1" x="224"/>
        <item m="1" x="225"/>
        <item m="1" x="226"/>
        <item m="1" x="227"/>
        <item m="1" x="228"/>
        <item m="1" x="229"/>
        <item m="1" x="230"/>
        <item m="1" x="231"/>
        <item m="1" x="55"/>
        <item m="1" x="56"/>
        <item m="1" x="131"/>
        <item m="1" x="134"/>
        <item m="1" x="135"/>
        <item m="1" x="17"/>
        <item m="1" x="18"/>
        <item m="1" x="19"/>
        <item m="1" x="20"/>
        <item m="1" x="21"/>
        <item m="1" x="22"/>
        <item m="1" x="23"/>
        <item m="1" x="25"/>
        <item m="1" x="26"/>
        <item m="1" x="27"/>
        <item m="1" x="31"/>
        <item m="1" x="32"/>
        <item m="1" x="33"/>
        <item m="1" x="34"/>
        <item m="1" x="36"/>
        <item m="1" x="42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"/>
        <item m="1" x="15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10"/>
    <field x="9"/>
  </rowFields>
  <rowItems count="22">
    <i>
      <x v="4"/>
    </i>
    <i r="1">
      <x v="25"/>
    </i>
    <i>
      <x v="9"/>
    </i>
    <i r="1">
      <x v="29"/>
    </i>
    <i r="1">
      <x v="35"/>
    </i>
    <i r="2">
      <x v="61"/>
    </i>
    <i r="2">
      <x v="62"/>
    </i>
    <i r="2">
      <x v="63"/>
    </i>
    <i r="2">
      <x v="64"/>
    </i>
    <i>
      <x v="21"/>
    </i>
    <i r="1">
      <x v="26"/>
    </i>
    <i r="2">
      <x v="197"/>
    </i>
    <i>
      <x v="23"/>
    </i>
    <i>
      <x v="26"/>
    </i>
    <i r="1">
      <x/>
    </i>
    <i r="2">
      <x v="385"/>
    </i>
    <i>
      <x v="31"/>
    </i>
    <i r="1">
      <x v="15"/>
    </i>
    <i r="2">
      <x v="196"/>
    </i>
    <i r="2">
      <x v="346"/>
    </i>
    <i>
      <x v="38"/>
    </i>
    <i t="grand">
      <x/>
    </i>
  </rowItems>
  <colItems count="1">
    <i/>
  </colItems>
  <pageFields count="1">
    <pageField fld="1" item="0" hier="-1"/>
  </pageFields>
  <dataFields count="1">
    <dataField name="Q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0074C-0322-4522-9124-DC29B5050A5A}" name="Tabela dinâmica1" cacheId="15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6:F22" firstHeaderRow="1" firstDataRow="2" firstDataCol="1"/>
  <pivotFields count="23">
    <pivotField axis="axisRow" showAll="0">
      <items count="6">
        <item m="1" x="4"/>
        <item m="1" x="3"/>
        <item m="1" x="2"/>
        <item m="1" x="1"/>
        <item x="0"/>
        <item t="default"/>
      </items>
    </pivotField>
    <pivotField axis="axisRow" showAll="0">
      <items count="11">
        <item sd="0" m="1" x="6"/>
        <item sd="0" m="1" x="4"/>
        <item sd="0" m="1" x="9"/>
        <item sd="0" m="1" x="7"/>
        <item sd="0" m="1" x="8"/>
        <item sd="0" m="1" x="5"/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axis="axisRow" showAll="0">
      <items count="13">
        <item m="1" x="11"/>
        <item x="0"/>
        <item x="6"/>
        <item x="5"/>
        <item x="3"/>
        <item x="2"/>
        <item x="1"/>
        <item m="1" x="10"/>
        <item x="7"/>
        <item x="4"/>
        <item x="8"/>
        <item x="9"/>
        <item t="default"/>
      </items>
    </pivotField>
    <pivotField showAll="0"/>
    <pivotField showAll="0"/>
    <pivotField showAll="0"/>
    <pivotField showAll="0"/>
    <pivotField axis="axisCol" showAll="0">
      <items count="4">
        <item m="1" x="2"/>
        <item x="0"/>
        <item x="1"/>
        <item t="default"/>
      </items>
    </pivotField>
    <pivotField showAll="0"/>
    <pivotField showAll="0"/>
    <pivotField showAll="0"/>
  </pivotFields>
  <rowFields count="3">
    <field x="0"/>
    <field x="1"/>
    <field x="14"/>
  </rowFields>
  <rowItems count="15">
    <i>
      <x v="4"/>
    </i>
    <i r="1">
      <x v="7"/>
    </i>
    <i r="2">
      <x v="1"/>
    </i>
    <i r="2">
      <x v="4"/>
    </i>
    <i r="2">
      <x v="5"/>
    </i>
    <i r="2">
      <x v="6"/>
    </i>
    <i r="1">
      <x v="8"/>
    </i>
    <i r="2">
      <x v="3"/>
    </i>
    <i r="1">
      <x v="9"/>
    </i>
    <i r="2">
      <x v="2"/>
    </i>
    <i r="2">
      <x v="8"/>
    </i>
    <i r="2">
      <x v="9"/>
    </i>
    <i r="2">
      <x v="10"/>
    </i>
    <i r="2">
      <x v="11"/>
    </i>
    <i t="grand">
      <x/>
    </i>
  </rowItems>
  <colFields count="1">
    <field x="19"/>
  </colFields>
  <colItems count="3">
    <i>
      <x v="1"/>
    </i>
    <i>
      <x v="2"/>
    </i>
    <i t="grand">
      <x/>
    </i>
  </colItems>
  <dataFields count="1">
    <dataField name="Índice De Aderência A Programação De Manutenção - Ceará - Semana 07/2025" fld="11" subtotal="count" baseField="0" baseItem="0"/>
  </dataFields>
  <formats count="136">
    <format dxfId="2208">
      <pivotArea outline="0" collapsedLevelsAreSubtotals="1" fieldPosition="0"/>
    </format>
    <format dxfId="2207">
      <pivotArea field="19" type="button" dataOnly="0" labelOnly="1" outline="0" axis="axisCol" fieldPosition="0"/>
    </format>
    <format dxfId="2206">
      <pivotArea type="topRight" dataOnly="0" labelOnly="1" outline="0" fieldPosition="0"/>
    </format>
    <format dxfId="2205">
      <pivotArea dataOnly="0" labelOnly="1" fieldPosition="0">
        <references count="1">
          <reference field="19" count="0"/>
        </references>
      </pivotArea>
    </format>
    <format dxfId="2204">
      <pivotArea dataOnly="0" labelOnly="1" grandCol="1" outline="0" fieldPosition="0"/>
    </format>
    <format dxfId="2203">
      <pivotArea outline="0" collapsedLevelsAreSubtotals="1" fieldPosition="0"/>
    </format>
    <format dxfId="2202">
      <pivotArea field="19" type="button" dataOnly="0" labelOnly="1" outline="0" axis="axisCol" fieldPosition="0"/>
    </format>
    <format dxfId="2201">
      <pivotArea type="topRight" dataOnly="0" labelOnly="1" outline="0" fieldPosition="0"/>
    </format>
    <format dxfId="2200">
      <pivotArea dataOnly="0" labelOnly="1" fieldPosition="0">
        <references count="1">
          <reference field="19" count="0"/>
        </references>
      </pivotArea>
    </format>
    <format dxfId="2199">
      <pivotArea dataOnly="0" labelOnly="1" grandCol="1" outline="0" fieldPosition="0"/>
    </format>
    <format dxfId="2198">
      <pivotArea type="origin" dataOnly="0" labelOnly="1" outline="0" fieldPosition="0"/>
    </format>
    <format dxfId="2197">
      <pivotArea field="19" type="button" dataOnly="0" labelOnly="1" outline="0" axis="axisCol" fieldPosition="0"/>
    </format>
    <format dxfId="2196">
      <pivotArea type="topRight" dataOnly="0" labelOnly="1" outline="0" fieldPosition="0"/>
    </format>
    <format dxfId="2195">
      <pivotArea field="0" type="button" dataOnly="0" labelOnly="1" outline="0" axis="axisRow" fieldPosition="0"/>
    </format>
    <format dxfId="2194">
      <pivotArea dataOnly="0" labelOnly="1" fieldPosition="0">
        <references count="1">
          <reference field="19" count="0"/>
        </references>
      </pivotArea>
    </format>
    <format dxfId="2193">
      <pivotArea dataOnly="0" labelOnly="1" grandCol="1" outline="0" fieldPosition="0"/>
    </format>
    <format dxfId="2192">
      <pivotArea field="19" type="button" dataOnly="0" labelOnly="1" outline="0" axis="axisCol" fieldPosition="0"/>
    </format>
    <format dxfId="2191">
      <pivotArea type="all" dataOnly="0" outline="0" fieldPosition="0"/>
    </format>
    <format dxfId="2190">
      <pivotArea dataOnly="0" labelOnly="1" fieldPosition="0">
        <references count="1">
          <reference field="0" count="0"/>
        </references>
      </pivotArea>
    </format>
    <format dxfId="2189">
      <pivotArea type="all" dataOnly="0" outline="0" fieldPosition="0"/>
    </format>
    <format dxfId="2188">
      <pivotArea dataOnly="0" labelOnly="1" fieldPosition="0">
        <references count="1">
          <reference field="0" count="0"/>
        </references>
      </pivotArea>
    </format>
    <format dxfId="2187">
      <pivotArea dataOnly="0" labelOnly="1" fieldPosition="0">
        <references count="1">
          <reference field="0" count="0"/>
        </references>
      </pivotArea>
    </format>
    <format dxfId="2186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185">
      <pivotArea field="19" grandRow="1" outline="0" collapsedLevelsAreSubtotals="1" axis="axisCol" fieldPosition="0">
        <references count="1">
          <reference field="19" count="1" selected="0">
            <x v="0"/>
          </reference>
        </references>
      </pivotArea>
    </format>
    <format dxfId="2184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183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2"/>
          </reference>
        </references>
      </pivotArea>
    </format>
    <format dxfId="2182">
      <pivotArea outline="0" collapsedLevelsAreSubtotals="1" fieldPosition="0"/>
    </format>
    <format dxfId="2181">
      <pivotArea dataOnly="0" labelOnly="1" fieldPosition="0">
        <references count="1">
          <reference field="0" count="0"/>
        </references>
      </pivotArea>
    </format>
    <format dxfId="2180">
      <pivotArea dataOnly="0" labelOnly="1" grandRow="1" outline="0" fieldPosition="0"/>
    </format>
    <format dxfId="2179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78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177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176">
      <pivotArea outline="0" collapsedLevelsAreSubtotals="1" fieldPosition="0"/>
    </format>
    <format dxfId="2175">
      <pivotArea dataOnly="0" labelOnly="1" fieldPosition="0">
        <references count="1">
          <reference field="0" count="0"/>
        </references>
      </pivotArea>
    </format>
    <format dxfId="2174">
      <pivotArea dataOnly="0" labelOnly="1" grandRow="1" outline="0" fieldPosition="0"/>
    </format>
    <format dxfId="217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72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171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170">
      <pivotArea outline="0" collapsedLevelsAreSubtotals="1" fieldPosition="0"/>
    </format>
    <format dxfId="2169">
      <pivotArea dataOnly="0" labelOnly="1" fieldPosition="0">
        <references count="1">
          <reference field="0" count="0"/>
        </references>
      </pivotArea>
    </format>
    <format dxfId="2168">
      <pivotArea dataOnly="0" labelOnly="1" grandRow="1" outline="0" fieldPosition="0"/>
    </format>
    <format dxfId="2167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66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3"/>
          </reference>
        </references>
      </pivotArea>
    </format>
    <format dxfId="2165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164">
      <pivotArea collapsedLevelsAreSubtotals="1" fieldPosition="0">
        <references count="1">
          <reference field="0" count="1">
            <x v="0"/>
          </reference>
        </references>
      </pivotArea>
    </format>
    <format dxfId="2163">
      <pivotArea collapsedLevelsAreSubtotals="1" fieldPosition="0">
        <references count="1">
          <reference field="0" count="1">
            <x v="0"/>
          </reference>
        </references>
      </pivotArea>
    </format>
    <format dxfId="2162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61">
      <pivotArea collapsedLevelsAreSubtotals="1" fieldPosition="0">
        <references count="1">
          <reference field="0" count="1">
            <x v="1"/>
          </reference>
        </references>
      </pivotArea>
    </format>
    <format dxfId="2160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159">
      <pivotArea dataOnly="0" labelOnly="1" fieldPosition="0">
        <references count="1">
          <reference field="0" count="1">
            <x v="1"/>
          </reference>
        </references>
      </pivotArea>
    </format>
    <format dxfId="2158">
      <pivotArea dataOnly="0" labelOnly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157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2156">
      <pivotArea collapsedLevelsAreSubtotals="1" fieldPosition="0">
        <references count="1">
          <reference field="0" count="1">
            <x v="2"/>
          </reference>
        </references>
      </pivotArea>
    </format>
    <format dxfId="2155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154">
      <pivotArea grandRow="1" outline="0" collapsedLevelsAreSubtotals="1" fieldPosition="0"/>
    </format>
    <format dxfId="2153">
      <pivotArea dataOnly="0" labelOnly="1" fieldPosition="0">
        <references count="1">
          <reference field="0" count="1">
            <x v="2"/>
          </reference>
        </references>
      </pivotArea>
    </format>
    <format dxfId="2152">
      <pivotArea dataOnly="0" labelOnly="1" grandRow="1" outline="0" fieldPosition="0"/>
    </format>
    <format dxfId="2151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150">
      <pivotArea outline="0" collapsedLevelsAreSubtotals="1" fieldPosition="0"/>
    </format>
    <format dxfId="2149">
      <pivotArea dataOnly="0" labelOnly="1" fieldPosition="0">
        <references count="1">
          <reference field="0" count="0"/>
        </references>
      </pivotArea>
    </format>
    <format dxfId="2148">
      <pivotArea dataOnly="0" labelOnly="1" grandRow="1" outline="0" fieldPosition="0"/>
    </format>
    <format dxfId="2147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46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145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144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143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2142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2141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2140">
      <pivotArea dataOnly="0" labelOnly="1" fieldPosition="0">
        <references count="2">
          <reference field="0" count="1" selected="0">
            <x v="1"/>
          </reference>
          <reference field="1" count="3">
            <x v="2"/>
            <x v="3"/>
            <x v="5"/>
          </reference>
        </references>
      </pivotArea>
    </format>
    <format dxfId="2139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138">
      <pivotArea dataOnly="0" labelOnly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137">
      <pivotArea dataOnly="0" labelOnly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2136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2135">
      <pivotArea outline="0" collapsedLevelsAreSubtotals="1" fieldPosition="0"/>
    </format>
    <format dxfId="2134">
      <pivotArea outline="0" collapsedLevelsAreSubtotals="1" fieldPosition="0"/>
    </format>
    <format dxfId="2133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32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31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30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29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28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27">
      <pivotArea dataOnly="0" labelOnly="1" fieldPosition="0">
        <references count="2">
          <reference field="0" count="0" selected="0"/>
          <reference field="1" count="3">
            <x v="1"/>
            <x v="4"/>
            <x v="5"/>
          </reference>
        </references>
      </pivotArea>
    </format>
    <format dxfId="2126">
      <pivotArea type="all" dataOnly="0" outline="0" fieldPosition="0"/>
    </format>
    <format dxfId="2125">
      <pivotArea outline="0" collapsedLevelsAreSubtotals="1" fieldPosition="0"/>
    </format>
    <format dxfId="2124">
      <pivotArea type="origin" dataOnly="0" labelOnly="1" outline="0" fieldPosition="0"/>
    </format>
    <format dxfId="2123">
      <pivotArea field="19" type="button" dataOnly="0" labelOnly="1" outline="0" axis="axisCol" fieldPosition="0"/>
    </format>
    <format dxfId="2122">
      <pivotArea type="topRight" dataOnly="0" labelOnly="1" outline="0" fieldPosition="0"/>
    </format>
    <format dxfId="2121">
      <pivotArea field="0" type="button" dataOnly="0" labelOnly="1" outline="0" axis="axisRow" fieldPosition="0"/>
    </format>
    <format dxfId="2120">
      <pivotArea dataOnly="0" labelOnly="1" grandRow="1" outline="0" fieldPosition="0"/>
    </format>
    <format dxfId="2119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2118">
      <pivotArea dataOnly="0" labelOnly="1" fieldPosition="0">
        <references count="1">
          <reference field="19" count="0"/>
        </references>
      </pivotArea>
    </format>
    <format dxfId="2117">
      <pivotArea dataOnly="0" labelOnly="1" grandCol="1" outline="0" fieldPosition="0"/>
    </format>
    <format dxfId="2116">
      <pivotArea type="all" dataOnly="0" outline="0" fieldPosition="0"/>
    </format>
    <format dxfId="2115">
      <pivotArea outline="0" collapsedLevelsAreSubtotals="1" fieldPosition="0"/>
    </format>
    <format dxfId="2114">
      <pivotArea type="origin" dataOnly="0" labelOnly="1" outline="0" fieldPosition="0"/>
    </format>
    <format dxfId="2113">
      <pivotArea field="19" type="button" dataOnly="0" labelOnly="1" outline="0" axis="axisCol" fieldPosition="0"/>
    </format>
    <format dxfId="2112">
      <pivotArea type="topRight" dataOnly="0" labelOnly="1" outline="0" fieldPosition="0"/>
    </format>
    <format dxfId="2111">
      <pivotArea field="0" type="button" dataOnly="0" labelOnly="1" outline="0" axis="axisRow" fieldPosition="0"/>
    </format>
    <format dxfId="2110">
      <pivotArea dataOnly="0" labelOnly="1" grandRow="1" outline="0" fieldPosition="0"/>
    </format>
    <format dxfId="2109">
      <pivotArea dataOnly="0" labelOnly="1" fieldPosition="0">
        <references count="2">
          <reference field="0" count="1" selected="0">
            <x v="2"/>
          </reference>
          <reference field="1" count="3">
            <x v="1"/>
            <x v="4"/>
            <x v="5"/>
          </reference>
        </references>
      </pivotArea>
    </format>
    <format dxfId="2108">
      <pivotArea dataOnly="0" labelOnly="1" fieldPosition="0">
        <references count="1">
          <reference field="19" count="0"/>
        </references>
      </pivotArea>
    </format>
    <format dxfId="2107">
      <pivotArea dataOnly="0" labelOnly="1" grandCol="1" outline="0" fieldPosition="0"/>
    </format>
    <format dxfId="2106">
      <pivotArea type="origin" dataOnly="0" labelOnly="1" outline="0" fieldPosition="0"/>
    </format>
    <format dxfId="2105">
      <pivotArea field="19" type="button" dataOnly="0" labelOnly="1" outline="0" axis="axisCol" fieldPosition="0"/>
    </format>
    <format dxfId="2104">
      <pivotArea type="topRight" dataOnly="0" labelOnly="1" outline="0" fieldPosition="0"/>
    </format>
    <format dxfId="2103">
      <pivotArea field="0" type="button" dataOnly="0" labelOnly="1" outline="0" axis="axisRow" fieldPosition="0"/>
    </format>
    <format dxfId="2102">
      <pivotArea dataOnly="0" labelOnly="1" fieldPosition="0">
        <references count="1">
          <reference field="19" count="0"/>
        </references>
      </pivotArea>
    </format>
    <format dxfId="2101">
      <pivotArea dataOnly="0" labelOnly="1" grandCol="1" outline="0" fieldPosition="0"/>
    </format>
    <format dxfId="2100">
      <pivotArea collapsedLevelsAreSubtotals="1" fieldPosition="0">
        <references count="1">
          <reference field="0" count="1">
            <x v="0"/>
          </reference>
        </references>
      </pivotArea>
    </format>
    <format dxfId="2099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098">
      <pivotArea collapsedLevelsAreSubtotals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2097">
      <pivotArea collapsedLevelsAreSubtotals="1" fieldPosition="0">
        <references count="1">
          <reference field="0" count="1">
            <x v="1"/>
          </reference>
        </references>
      </pivotArea>
    </format>
    <format dxfId="2096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095">
      <pivotArea collapsedLevelsAreSubtotals="1" fieldPosition="0">
        <references count="2">
          <reference field="0" count="1" selected="0">
            <x v="1"/>
          </reference>
          <reference field="1" count="1">
            <x v="2"/>
          </reference>
        </references>
      </pivotArea>
    </format>
    <format dxfId="2094">
      <pivotArea collapsedLevelsAreSubtotals="1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2093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2092">
      <pivotArea collapsedLevelsAreSubtotals="1" fieldPosition="0">
        <references count="1">
          <reference field="0" count="1">
            <x v="2"/>
          </reference>
        </references>
      </pivotArea>
    </format>
    <format dxfId="2091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2090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2089">
      <pivotArea dataOnly="0" labelOnly="1" fieldPosition="0">
        <references count="1">
          <reference field="0" count="0"/>
        </references>
      </pivotArea>
    </format>
    <format dxfId="2088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2087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086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085">
      <pivotArea type="all" dataOnly="0" outline="0" fieldPosition="0"/>
    </format>
    <format dxfId="2084">
      <pivotArea outline="0" collapsedLevelsAreSubtotals="1" fieldPosition="0"/>
    </format>
    <format dxfId="2083">
      <pivotArea type="origin" dataOnly="0" labelOnly="1" outline="0" fieldPosition="0"/>
    </format>
    <format dxfId="2082">
      <pivotArea field="19" type="button" dataOnly="0" labelOnly="1" outline="0" axis="axisCol" fieldPosition="0"/>
    </format>
    <format dxfId="2081">
      <pivotArea type="topRight" dataOnly="0" labelOnly="1" outline="0" fieldPosition="0"/>
    </format>
    <format dxfId="2080">
      <pivotArea field="0" type="button" dataOnly="0" labelOnly="1" outline="0" axis="axisRow" fieldPosition="0"/>
    </format>
    <format dxfId="2079">
      <pivotArea dataOnly="0" labelOnly="1" fieldPosition="0">
        <references count="1">
          <reference field="0" count="0"/>
        </references>
      </pivotArea>
    </format>
    <format dxfId="2078">
      <pivotArea dataOnly="0" labelOnly="1" grandRow="1" outline="0" fieldPosition="0"/>
    </format>
    <format dxfId="2077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3"/>
          </reference>
        </references>
      </pivotArea>
    </format>
    <format dxfId="2076">
      <pivotArea dataOnly="0" labelOnly="1" fieldPosition="0">
        <references count="2">
          <reference field="0" count="1" selected="0">
            <x v="1"/>
          </reference>
          <reference field="1" count="4">
            <x v="0"/>
            <x v="2"/>
            <x v="3"/>
            <x v="5"/>
          </reference>
        </references>
      </pivotArea>
    </format>
    <format dxfId="2075">
      <pivotArea dataOnly="0" labelOnly="1" fieldPosition="0">
        <references count="2">
          <reference field="0" count="1" selected="0">
            <x v="2"/>
          </reference>
          <reference field="1" count="2">
            <x v="1"/>
            <x v="4"/>
          </reference>
        </references>
      </pivotArea>
    </format>
    <format dxfId="2074">
      <pivotArea dataOnly="0" labelOnly="1" fieldPosition="0">
        <references count="1">
          <reference field="19" count="0"/>
        </references>
      </pivotArea>
    </format>
    <format dxfId="2073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2915A-62F5-470E-8D5B-D3EA1F401E20}" name="Tabela dinâmica5" cacheId="15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6:Q11" firstHeaderRow="1" firstDataRow="1" firstDataCol="1" rowPageCount="1" colPageCount="1"/>
  <pivotFields count="23">
    <pivotField showAll="0">
      <items count="6">
        <item m="1" x="4"/>
        <item m="1" x="3"/>
        <item m="1" x="2"/>
        <item m="1" x="1"/>
        <item x="0"/>
        <item t="default"/>
      </items>
    </pivotField>
    <pivotField axis="axisRow" showAll="0">
      <items count="11">
        <item m="1" x="6"/>
        <item m="1" x="4"/>
        <item m="1" x="5"/>
        <item m="1" x="9"/>
        <item m="1" x="7"/>
        <item m="1" x="8"/>
        <item m="1"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m="1" x="2"/>
        <item x="0"/>
        <item h="1" x="1"/>
        <item t="default"/>
      </items>
    </pivotField>
    <pivotField axis="axisRow" showAll="0">
      <items count="19">
        <item m="1" x="7"/>
        <item m="1" x="9"/>
        <item m="1" x="1"/>
        <item m="1" x="16"/>
        <item x="0"/>
        <item m="1" x="12"/>
        <item m="1" x="3"/>
        <item m="1" x="17"/>
        <item m="1" x="11"/>
        <item m="1" x="15"/>
        <item m="1" x="14"/>
        <item m="1" x="2"/>
        <item m="1" x="8"/>
        <item m="1" x="4"/>
        <item m="1" x="13"/>
        <item m="1" x="10"/>
        <item m="1" x="5"/>
        <item m="1" x="6"/>
        <item t="default"/>
      </items>
    </pivotField>
    <pivotField showAll="0"/>
    <pivotField showAll="0"/>
  </pivotFields>
  <rowFields count="2">
    <field x="1"/>
    <field x="20"/>
  </rowFields>
  <rowItems count="5">
    <i>
      <x v="7"/>
    </i>
    <i r="1">
      <x v="4"/>
    </i>
    <i>
      <x v="8"/>
    </i>
    <i r="1">
      <x v="4"/>
    </i>
    <i t="grand">
      <x/>
    </i>
  </rowItems>
  <colItems count="1">
    <i/>
  </colItems>
  <pageFields count="1">
    <pageField fld="19" hier="-1"/>
  </pageFields>
  <dataFields count="1">
    <dataField name="Resumo de Justificativas - Não Execução" fld="11" subtotal="count" baseField="1" baseItem="0"/>
  </dataFields>
  <formats count="58">
    <format dxfId="2266">
      <pivotArea outline="0" collapsedLevelsAreSubtotals="1" fieldPosition="0"/>
    </format>
    <format dxfId="2265">
      <pivotArea field="19" type="button" dataOnly="0" labelOnly="1" outline="0" axis="axisPage" fieldPosition="0"/>
    </format>
    <format dxfId="2264">
      <pivotArea type="topRight" dataOnly="0" labelOnly="1" outline="0" fieldPosition="0"/>
    </format>
    <format dxfId="2263">
      <pivotArea dataOnly="0" labelOnly="1" fieldPosition="0">
        <references count="1">
          <reference field="19" count="0"/>
        </references>
      </pivotArea>
    </format>
    <format dxfId="2262">
      <pivotArea dataOnly="0" labelOnly="1" grandCol="1" outline="0" fieldPosition="0"/>
    </format>
    <format dxfId="2261">
      <pivotArea outline="0" collapsedLevelsAreSubtotals="1" fieldPosition="0"/>
    </format>
    <format dxfId="2260">
      <pivotArea field="19" type="button" dataOnly="0" labelOnly="1" outline="0" axis="axisPage" fieldPosition="0"/>
    </format>
    <format dxfId="2259">
      <pivotArea type="topRight" dataOnly="0" labelOnly="1" outline="0" fieldPosition="0"/>
    </format>
    <format dxfId="2258">
      <pivotArea dataOnly="0" labelOnly="1" fieldPosition="0">
        <references count="1">
          <reference field="19" count="0"/>
        </references>
      </pivotArea>
    </format>
    <format dxfId="2257">
      <pivotArea dataOnly="0" labelOnly="1" grandCol="1" outline="0" fieldPosition="0"/>
    </format>
    <format dxfId="2256">
      <pivotArea type="origin" dataOnly="0" labelOnly="1" outline="0" fieldPosition="0"/>
    </format>
    <format dxfId="2255">
      <pivotArea field="19" type="button" dataOnly="0" labelOnly="1" outline="0" axis="axisPage" fieldPosition="0"/>
    </format>
    <format dxfId="2254">
      <pivotArea type="topRight" dataOnly="0" labelOnly="1" outline="0" fieldPosition="0"/>
    </format>
    <format dxfId="2253">
      <pivotArea field="0" type="button" dataOnly="0" labelOnly="1" outline="0"/>
    </format>
    <format dxfId="2252">
      <pivotArea dataOnly="0" labelOnly="1" fieldPosition="0">
        <references count="1">
          <reference field="19" count="0"/>
        </references>
      </pivotArea>
    </format>
    <format dxfId="2251">
      <pivotArea dataOnly="0" labelOnly="1" grandCol="1" outline="0" fieldPosition="0"/>
    </format>
    <format dxfId="2250">
      <pivotArea field="19" type="button" dataOnly="0" labelOnly="1" outline="0" axis="axisPage" fieldPosition="0"/>
    </format>
    <format dxfId="2249">
      <pivotArea type="all" dataOnly="0" outline="0" fieldPosition="0"/>
    </format>
    <format dxfId="2248">
      <pivotArea outline="0" collapsedLevelsAreSubtotals="1" fieldPosition="0"/>
    </format>
    <format dxfId="2247">
      <pivotArea type="origin" dataOnly="0" labelOnly="1" outline="0" fieldPosition="0"/>
    </format>
    <format dxfId="2246">
      <pivotArea field="19" type="button" dataOnly="0" labelOnly="1" outline="0" axis="axisPage" fieldPosition="0"/>
    </format>
    <format dxfId="2245">
      <pivotArea type="topRight" dataOnly="0" labelOnly="1" outline="0" fieldPosition="0"/>
    </format>
    <format dxfId="2244">
      <pivotArea field="0" type="button" dataOnly="0" labelOnly="1" outline="0"/>
    </format>
    <format dxfId="2243">
      <pivotArea dataOnly="0" labelOnly="1" grandRow="1" outline="0" fieldPosition="0"/>
    </format>
    <format dxfId="2242">
      <pivotArea dataOnly="0" labelOnly="1" fieldPosition="0">
        <references count="1">
          <reference field="19" count="1">
            <x v="1"/>
          </reference>
        </references>
      </pivotArea>
    </format>
    <format dxfId="2241">
      <pivotArea dataOnly="0" labelOnly="1" grandCol="1" outline="0" fieldPosition="0"/>
    </format>
    <format dxfId="2240">
      <pivotArea type="all" dataOnly="0" outline="0" fieldPosition="0"/>
    </format>
    <format dxfId="2239">
      <pivotArea outline="0" collapsedLevelsAreSubtotals="1" fieldPosition="0"/>
    </format>
    <format dxfId="2238">
      <pivotArea type="origin" dataOnly="0" labelOnly="1" outline="0" fieldPosition="0"/>
    </format>
    <format dxfId="2237">
      <pivotArea field="19" type="button" dataOnly="0" labelOnly="1" outline="0" axis="axisPage" fieldPosition="0"/>
    </format>
    <format dxfId="2236">
      <pivotArea type="topRight" dataOnly="0" labelOnly="1" outline="0" fieldPosition="0"/>
    </format>
    <format dxfId="2235">
      <pivotArea field="0" type="button" dataOnly="0" labelOnly="1" outline="0"/>
    </format>
    <format dxfId="2234">
      <pivotArea dataOnly="0" labelOnly="1" grandRow="1" outline="0" fieldPosition="0"/>
    </format>
    <format dxfId="2233">
      <pivotArea dataOnly="0" labelOnly="1" fieldPosition="0">
        <references count="1">
          <reference field="19" count="1">
            <x v="1"/>
          </reference>
        </references>
      </pivotArea>
    </format>
    <format dxfId="2232">
      <pivotArea dataOnly="0" labelOnly="1" grandCol="1" outline="0" fieldPosition="0"/>
    </format>
    <format dxfId="2231">
      <pivotArea outline="0" collapsedLevelsAreSubtotals="1" fieldPosition="0"/>
    </format>
    <format dxfId="2230">
      <pivotArea dataOnly="0" labelOnly="1" grandRow="1" outline="0" fieldPosition="0"/>
    </format>
    <format dxfId="2229">
      <pivotArea outline="0" collapsedLevelsAreSubtotals="1" fieldPosition="0"/>
    </format>
    <format dxfId="2228">
      <pivotArea dataOnly="0" labelOnly="1" grandRow="1" outline="0" fieldPosition="0"/>
    </format>
    <format dxfId="2227">
      <pivotArea outline="0" collapsedLevelsAreSubtotals="1" fieldPosition="0"/>
    </format>
    <format dxfId="2226">
      <pivotArea dataOnly="0" labelOnly="1" grandRow="1" outline="0" fieldPosition="0"/>
    </format>
    <format dxfId="2225">
      <pivotArea dataOnly="0" labelOnly="1" grandRow="1" outline="0" fieldPosition="0"/>
    </format>
    <format dxfId="2224">
      <pivotArea dataOnly="0" labelOnly="1" grandRow="1" outline="0" fieldPosition="0"/>
    </format>
    <format dxfId="2223">
      <pivotArea grandRow="1" outline="0" collapsedLevelsAreSubtotals="1" fieldPosition="0"/>
    </format>
    <format dxfId="2222">
      <pivotArea dataOnly="0" labelOnly="1" grandRow="1" outline="0" fieldPosition="0"/>
    </format>
    <format dxfId="2221">
      <pivotArea dataOnly="0" labelOnly="1" outline="0" fieldPosition="0">
        <references count="1">
          <reference field="19" count="0"/>
        </references>
      </pivotArea>
    </format>
    <format dxfId="2220">
      <pivotArea type="all" dataOnly="0" outline="0" fieldPosition="0"/>
    </format>
    <format dxfId="2219">
      <pivotArea outline="0" collapsedLevelsAreSubtotals="1" fieldPosition="0"/>
    </format>
    <format dxfId="2218">
      <pivotArea field="1" type="button" dataOnly="0" labelOnly="1" outline="0" axis="axisRow" fieldPosition="0"/>
    </format>
    <format dxfId="2217">
      <pivotArea dataOnly="0" labelOnly="1" grandRow="1" outline="0" fieldPosition="0"/>
    </format>
    <format dxfId="2216">
      <pivotArea dataOnly="0" labelOnly="1" outline="0" axis="axisValues" fieldPosition="0"/>
    </format>
    <format dxfId="2215">
      <pivotArea type="all" dataOnly="0" outline="0" fieldPosition="0"/>
    </format>
    <format dxfId="2214">
      <pivotArea outline="0" collapsedLevelsAreSubtotals="1" fieldPosition="0"/>
    </format>
    <format dxfId="2213">
      <pivotArea field="1" type="button" dataOnly="0" labelOnly="1" outline="0" axis="axisRow" fieldPosition="0"/>
    </format>
    <format dxfId="2212">
      <pivotArea dataOnly="0" labelOnly="1" grandRow="1" outline="0" fieldPosition="0"/>
    </format>
    <format dxfId="2211">
      <pivotArea dataOnly="0" labelOnly="1" outline="0" axis="axisValues" fieldPosition="0"/>
    </format>
    <format dxfId="2210">
      <pivotArea field="1" type="button" dataOnly="0" labelOnly="1" outline="0" axis="axisRow" fieldPosition="0"/>
    </format>
    <format dxfId="220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" xr10:uid="{C990D8E8-DB99-4370-BF66-D9298E353477}" sourceName="Complexo">
  <pivotTables>
    <pivotTable tabId="5" name="Tabela dinâmica1"/>
  </pivotTables>
  <data>
    <tabular pivotCacheId="1753649948">
      <items count="5">
        <i x="0" s="1"/>
        <i x="4" s="1" nd="1"/>
        <i x="3" s="1" nd="1"/>
        <i x="2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98A7F083-87F5-44A3-9300-232487A31F56}" sourceName="Equipe">
  <pivotTables>
    <pivotTable tabId="5" name="Tabela dinâmica1"/>
  </pivotTables>
  <data>
    <tabular pivotCacheId="1753649948">
      <items count="10">
        <i x="0" s="1"/>
        <i x="2" s="1"/>
        <i x="1" s="1"/>
        <i x="6" s="1" nd="1"/>
        <i x="4" s="1" nd="1"/>
        <i x="5" s="1" nd="1"/>
        <i x="9" s="1" nd="1"/>
        <i x="7" s="1" nd="1"/>
        <i x="8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1" xr10:uid="{6AAFC406-EB70-41E7-AD03-DAFCF776446E}" sourceName="Complexo">
  <pivotTables>
    <pivotTable tabId="5" name="Tabela dinâmica5"/>
  </pivotTables>
  <data>
    <tabular pivotCacheId="1753649948">
      <items count="5">
        <i x="0" s="1"/>
        <i x="4" s="1" nd="1"/>
        <i x="3" s="1" nd="1"/>
        <i x="2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ód._Justificativa" xr10:uid="{27577BFE-B3BF-43C7-8415-FE381371C3B7}" sourceName="Cód. Justificativa">
  <pivotTables>
    <pivotTable tabId="5" name="Tabela dinâmica5"/>
  </pivotTables>
  <data>
    <tabular pivotCacheId="1753649948" sortOrder="descending">
      <items count="18">
        <i x="0" s="1"/>
        <i x="15" s="1" nd="1"/>
        <i x="4" s="1" nd="1"/>
        <i x="16" s="1" nd="1"/>
        <i x="2" s="1" nd="1"/>
        <i x="13" s="1" nd="1"/>
        <i x="17" s="1" nd="1"/>
        <i x="8" s="1" nd="1"/>
        <i x="1" s="1" nd="1"/>
        <i x="11" s="1" nd="1"/>
        <i x="3" s="1" nd="1"/>
        <i x="12" s="1" nd="1"/>
        <i x="9" s="1" nd="1"/>
        <i x="10" s="1" nd="1"/>
        <i x="7" s="1" nd="1"/>
        <i x="6" s="1" nd="1"/>
        <i x="1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OS" xr10:uid="{F16C75F8-C58D-49B7-A26B-ACBBC7497F5F}" sourceName="Status OS">
  <extLst>
    <x:ext xmlns:x15="http://schemas.microsoft.com/office/spreadsheetml/2010/11/main" uri="{2F2917AC-EB37-4324-AD4E-5DD8C200BD13}">
      <x15:tableSlicerCache tableId="2" column="1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" xr10:uid="{F3037749-2DA0-4D14-845A-7230AC2A1D40}" sourceName="Complexo">
  <extLst>
    <x:ext xmlns:x15="http://schemas.microsoft.com/office/spreadsheetml/2010/11/main" uri="{2F2917AC-EB37-4324-AD4E-5DD8C200BD13}">
      <x15:tableSlicerCache tableId="2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_equipe" xr10:uid="{45AD9FA1-10F0-4260-AE34-D9A5D427E666}" sourceName="Equipe">
  <extLst>
    <x:ext xmlns:x15="http://schemas.microsoft.com/office/spreadsheetml/2010/11/main" uri="{2F2917AC-EB37-4324-AD4E-5DD8C200BD13}">
      <x15:tableSlicerCache tableId="2" column="19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2" xr10:uid="{ACB8E099-5DBE-4662-8FE3-32AD5BD30576}" sourceName="Complexo">
  <extLst>
    <x:ext xmlns:x15="http://schemas.microsoft.com/office/spreadsheetml/2010/11/main" uri="{2F2917AC-EB37-4324-AD4E-5DD8C200BD13}">
      <x15:tableSlicerCache tableId="7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rque" xr10:uid="{4E82B44A-66C8-4665-A55C-D033075926EB}" sourceName="Parque">
  <extLst>
    <x:ext xmlns:x15="http://schemas.microsoft.com/office/spreadsheetml/2010/11/main" uri="{2F2917AC-EB37-4324-AD4E-5DD8C200BD13}">
      <x15:tableSlicerCache tableId="7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lexo12" xr10:uid="{79054CAA-E3A7-4D01-B517-40D4600A1A2D}" sourceName="Complexo">
  <extLst>
    <x:ext xmlns:x15="http://schemas.microsoft.com/office/spreadsheetml/2010/11/main" uri="{2F2917AC-EB37-4324-AD4E-5DD8C200BD13}">
      <x15:tableSlicerCache tableId="1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OS" xr10:uid="{A4AB4841-D5CB-4E91-8D02-D1335C928AE4}" cache="SegmentaçãodeDados_Status_OS" caption="Status OS" style="SlicerStyleDark1 2" rowHeight="257175"/>
  <slicer name="Complexo" xr10:uid="{F54ED375-B0DC-4E0F-A2B4-51B2FFCA8F63}" cache="SegmentaçãodeDados_Complexo" caption="Complexo" columnCount="3" style="SlicerStyleDark1 2" rowHeight="257175"/>
  <slicer name="cod_equipe" xr10:uid="{3EAA38FB-537D-455B-8E45-0F92300EA6AB}" cache="SegmentaçãodeDados_cod_equipe" caption="Equipe" columnCount="2" style="SlicerStyleDark1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1" xr10:uid="{7CA593F9-0C9B-4B98-B204-7F1AD010B7BA}" cache="SegmentaçãodeDados_Complexo1" caption="Complexo" style="SlicerStyleDark1" rowHeight="257175"/>
  <slicer name="Equipe" xr10:uid="{654F1968-82BC-4275-8B83-46F28B017658}" cache="SegmentaçãodeDados_Equipe" caption="Equipe" style="SlicerStyleDark1" rowHeight="257175"/>
  <slicer name="Complexo 2" xr10:uid="{F2143F75-42AF-4B88-A3C7-A12EEE5CE21F}" cache="SegmentaçãodeDados_Complexo11" caption="Complexo" style="SlicerStyleDark1" rowHeight="257175"/>
  <slicer name="Cód. Justificativa" xr10:uid="{9462D8A0-32B1-4AB9-9524-F773BD97F038}" cache="SegmentaçãodeDados_Cód._Justificativa" caption="Cód. Justificativa" style="SlicerStyleDark1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lexo 3" xr10:uid="{9216641B-3650-4EBA-B956-D66F26BB5792}" cache="SegmentaçãodeDados_Complexo2" caption="Complexo" columnCount="5" style="SlicerStyleDark1 2" rowHeight="257175"/>
  <slicer name="Parque" xr10:uid="{FAB04252-8CF9-4F77-8FD2-80BD38A15DBA}" cache="SegmentaçãodeDados_Parque" caption="Parque" columnCount="8" style="SlicerStyleDark1 2" rowHeight="257175"/>
  <slicer name="Complexo 4" xr10:uid="{52BC8678-0E0F-48B0-BC50-DA9DAEA3EA7B}" cache="SegmentaçãodeDados_Complexo12" caption="Complexo" columnCount="2" style="SlicerStyleDark1 2" rowHeight="21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ABF5E-BB96-4BFC-B900-2D53E9AF085A}" name="Tabela83" displayName="Tabela83" ref="A3:W108" headerRowDxfId="2460" dataDxfId="2458" totalsRowDxfId="2456" headerRowBorderDxfId="2459" tableBorderDxfId="2457" totalsRowBorderDxfId="2455">
  <autoFilter ref="A3:W108" xr:uid="{7A5ABF5E-BB96-4BFC-B900-2D53E9AF085A}">
    <filterColumn colId="12">
      <filters>
        <filter val="04/05/2026 08:00"/>
        <dateGroupItem year="2026" dateTimeGrouping="year"/>
      </filters>
    </filterColumn>
  </autoFilter>
  <tableColumns count="23">
    <tableColumn id="1" xr3:uid="{8A949686-0E3E-4B5D-B818-90F599E8A4D7}" name="Complexo" totalsRowLabel="Total" dataDxfId="2454" totalsRowDxfId="2453"/>
    <tableColumn id="19" xr3:uid="{2FDBFD60-6184-408C-B40E-BB4044C4B7F0}" name="Equipe" dataDxfId="2452" totalsRowDxfId="2451"/>
    <tableColumn id="2" xr3:uid="{15412328-9D6B-4073-AD97-96864DE584CD}" name="Ordem" dataDxfId="2450" totalsRowDxfId="2449"/>
    <tableColumn id="3" xr3:uid="{64267119-94C4-4C36-AC2E-477AF29B2FE5}" name="data_prevista" dataDxfId="2448" totalsRowDxfId="2447"/>
    <tableColumn id="22" xr3:uid="{BCE57670-878F-4596-8814-6F0DD4C7AF08}" name="Família" dataDxfId="2446" totalsRowDxfId="2445"/>
    <tableColumn id="21" xr3:uid="{35ACCF11-ADA9-4A57-93AB-C1D537F5FA27}" name="Descrição Plano" dataDxfId="2444" totalsRowDxfId="2443"/>
    <tableColumn id="23" xr3:uid="{AA4B9357-0D58-48AA-89AB-616FCFB04C8E}" name="Nº Sem" dataDxfId="2442" totalsRowDxfId="2441"/>
    <tableColumn id="4" xr3:uid="{180BD49C-E15F-4897-9B23-61D396A5C5DC}" name="Instal." dataDxfId="2440" totalsRowDxfId="2439"/>
    <tableColumn id="20" xr3:uid="{E86C87C7-21D0-494C-9037-0E9428EEF7CD}" name="Localização" dataDxfId="2438" totalsRowDxfId="2437"/>
    <tableColumn id="9" xr3:uid="{3D7FA604-1C17-47A3-998E-7FD29EF7DE19}" name="Complemento" dataDxfId="2436" totalsRowDxfId="2435"/>
    <tableColumn id="5" xr3:uid="{1958EB1D-1028-4F09-AB98-B2B8ACBF5958}" name="Esquema" dataDxfId="2434" totalsRowDxfId="2433"/>
    <tableColumn id="6" xr3:uid="{0CC96D95-5111-452C-A36E-A1F8457A159F}" name="Ativo" dataDxfId="2432" totalsRowDxfId="2431"/>
    <tableColumn id="7" xr3:uid="{223A5765-F0E2-42D3-95DD-BE0CF650406A}" name="Dt. Início" dataDxfId="2430" totalsRowDxfId="2429"/>
    <tableColumn id="8" xr3:uid="{EC4E29A6-DE63-45FF-99F2-CE18814D7C97}" name="Dt. Término" dataDxfId="2428" totalsRowDxfId="2427"/>
    <tableColumn id="10" xr3:uid="{1C2C72E5-429F-4E1D-A76B-E9CEABCA57D5}" name="Responsápel" dataDxfId="2426" totalsRowDxfId="2425"/>
    <tableColumn id="11" xr3:uid="{51264AD1-1554-4D72-80A1-ADA6041C079C}" name="Observação" dataDxfId="2424"/>
    <tableColumn id="18" xr3:uid="{8F4164AB-95D2-4BF6-A35E-594340FADD90}" name="Lote OS" dataDxfId="2423" totalsRowDxfId="2422"/>
    <tableColumn id="17" xr3:uid="{8DB043D2-B643-4D00-88A0-E7AF702B6028}" name="SI" dataDxfId="2421" totalsRowDxfId="2420"/>
    <tableColumn id="16" xr3:uid="{06FA186B-7157-42DA-AB58-3816742D0583}" name="Status SI" dataDxfId="2419" totalsRowDxfId="2418"/>
    <tableColumn id="14" xr3:uid="{431CA89B-0D1F-4BE4-951C-3CB926427919}" name="Status OS" dataDxfId="2417" totalsRowDxfId="2416"/>
    <tableColumn id="12" xr3:uid="{806F7BB9-1D0F-4087-B762-78D51F8904FB}" name="Cód. Justificativa" dataDxfId="2415" totalsRowDxfId="2414"/>
    <tableColumn id="15" xr3:uid="{DB7FAC5A-EB36-4CCB-8DAF-FC1BFD577420}" name="Txt. Justificativa" dataDxfId="2413" totalsRowDxfId="2412"/>
    <tableColumn id="13" xr3:uid="{30DF55A3-3720-423D-A312-DC6A4EAB8CF8}" name="OS Desvio" totalsRowFunction="count" dataDxfId="2411" totalsRowDxfId="241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1E17B-62ED-49E5-BC33-B510AFFFD849}" name="Tabela22" displayName="Tabela22" ref="B3:B33" totalsRowShown="0" headerRowDxfId="2072" dataDxfId="2071">
  <autoFilter ref="B3:B33" xr:uid="{A6B42763-B28D-4028-9693-AB16179E85DB}"/>
  <tableColumns count="1">
    <tableColumn id="1" xr3:uid="{CDE76A09-9D40-444A-B581-3DF0B7C80EF8}" name="Corretiva Não Planejada" dataDxfId="2070"/>
  </tableColumns>
  <tableStyleInfo name="TableStyleMedium16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8AA262-6498-4E4F-9436-CA3B93861FC4}" name="Tabela212" displayName="Tabela212" ref="D3:E7" totalsRowShown="0" headerRowDxfId="2069" dataDxfId="2068">
  <autoFilter ref="D3:E7" xr:uid="{A9017FD0-3F6B-419B-81B5-09B697427A78}"/>
  <sortState xmlns:xlrd2="http://schemas.microsoft.com/office/spreadsheetml/2017/richdata2" ref="D4:D33">
    <sortCondition ref="D3:D33"/>
  </sortState>
  <tableColumns count="2">
    <tableColumn id="1" xr3:uid="{D25354A4-12C0-47E6-A74E-BABBFA6A927E}" name="Código Padrão Energimp" dataDxfId="2067"/>
    <tableColumn id="2" xr3:uid="{E436B411-0B51-4FBA-88F4-F56F59D4FF34}" name="Cor" dataDxfId="2066"/>
  </tableColumns>
  <tableStyleInfo name="TableStyleMedium16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BD58BE-A463-4C5F-ABA3-4EDB96CAA933}" name="Tabela292" displayName="Tabela292" ref="G3:H10" totalsRowShown="0" headerRowDxfId="2065" dataDxfId="2063" headerRowBorderDxfId="2064" tableBorderDxfId="2062" totalsRowBorderDxfId="2061">
  <autoFilter ref="G3:H10" xr:uid="{E780391B-85EE-47E4-BF3A-E17D8DE57FB7}"/>
  <sortState xmlns:xlrd2="http://schemas.microsoft.com/office/spreadsheetml/2017/richdata2" ref="G4:H10">
    <sortCondition ref="G3:G10"/>
  </sortState>
  <tableColumns count="2">
    <tableColumn id="1" xr3:uid="{8FAE61B6-A0E4-4AFD-B271-7D4A04ADB950}" name="Nº" dataDxfId="2060"/>
    <tableColumn id="2" xr3:uid="{3C581588-1C87-4D43-97AE-AD40557C8217}" name="Dia da Semana" dataDxfId="2059"/>
  </tableColumns>
  <tableStyleInfo name="TableStyleMedium16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750CE3-B5D3-4791-9EE8-C273CDA7E791}" name="Tabela393" displayName="Tabela393" ref="J3:S245" totalsRowShown="0" headerRowDxfId="2058" dataDxfId="2056" headerRowBorderDxfId="2057" tableBorderDxfId="2055">
  <autoFilter ref="J3:S245" xr:uid="{C512DE29-4835-4B1B-9B3B-D69FE6B18386}"/>
  <tableColumns count="10">
    <tableColumn id="2" xr3:uid="{C2FC7A50-C1FC-405C-A3E0-B23A1AA0ECDE}" name="Equipamento" dataDxfId="2054"/>
    <tableColumn id="3" xr3:uid="{A1105B9E-6FB5-450F-8AEF-07C940A8A7BA}" name="Circuito" dataDxfId="2053"/>
    <tableColumn id="1" xr3:uid="{4719CEF7-CD84-4346-9A93-4CC8E7D04980}" name="Complexo" dataDxfId="2052"/>
    <tableColumn id="4" xr3:uid="{AF0999D2-6944-4D92-9A57-083CEFC8F9C3}" name="Região" dataDxfId="2051"/>
    <tableColumn id="5" xr3:uid="{53C2902B-F977-4C7C-9DFB-908D19028CE4}" name="Parque" dataDxfId="2050"/>
    <tableColumn id="7" xr3:uid="{667A42CC-28B3-4E9A-A914-30F0D1920AE6}" name="Impacto Cub" dataDxfId="2049"/>
    <tableColumn id="8" xr3:uid="{FD0771B1-B810-4277-8283-DDA4BE390F0E}" name="Quant." dataDxfId="2048"/>
    <tableColumn id="10" xr3:uid="{2318AF04-BDC0-4232-9B5F-25A21EE4FFD0}" name="Atividade" dataDxfId="2047"/>
    <tableColumn id="9" xr3:uid="{60FEEBDF-C9A8-4EE5-A0C5-9DCEDC02203F}" name="Total" dataDxfId="2046">
      <calculatedColumnFormula>Tabela393[[#This Row],[Atividade]]*Tabela393[[#This Row],[Quant.]]</calculatedColumnFormula>
    </tableColumn>
    <tableColumn id="6" xr3:uid="{1C721B2D-C961-4420-90A0-D071FD0D500B}" name="Demanda" dataDxfId="2045"/>
  </tableColumns>
  <tableStyleInfo name="TableStyleMedium16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4118FD-41DC-4A0B-9E50-45FF1BE0EDCF}" name="Tabela2129" displayName="Tabela2129" ref="U3:W19" totalsRowShown="0" headerRowDxfId="2044" dataDxfId="2042" headerRowBorderDxfId="2043" tableBorderDxfId="2041" totalsRowBorderDxfId="2040">
  <autoFilter ref="U3:W19" xr:uid="{EF540245-4AC0-4DFF-8BFE-66B48C47D82C}"/>
  <sortState xmlns:xlrd2="http://schemas.microsoft.com/office/spreadsheetml/2017/richdata2" ref="U4:W19">
    <sortCondition ref="V3:V19"/>
  </sortState>
  <tableColumns count="3">
    <tableColumn id="1" xr3:uid="{CC968CCA-858F-4FCB-8299-425ED8BB6186}" name="Pacote de Planos" dataDxfId="2039"/>
    <tableColumn id="2" xr3:uid="{58789595-7EDF-4665-BB5A-8902A770B515}" name="Previsão" dataDxfId="2038"/>
    <tableColumn id="3" xr3:uid="{FAE54E43-7538-4338-9358-4C6F87C8E4CC}" name="Status" dataDxfId="2037" dataCellStyle="Normal 2"/>
  </tableColumns>
  <tableStyleInfo name="TableStyleMedium16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98531C-A693-431F-BC60-380EF81945C9}" name="Tabela212910" displayName="Tabela212910" ref="Y3:Z13" totalsRowShown="0" headerRowDxfId="2036" dataDxfId="2034" headerRowBorderDxfId="2035" tableBorderDxfId="2033" totalsRowBorderDxfId="2032">
  <autoFilter ref="Y3:Z13" xr:uid="{ABFFD0D2-E25D-4804-B1F1-3235669E080E}"/>
  <sortState xmlns:xlrd2="http://schemas.microsoft.com/office/spreadsheetml/2017/richdata2" ref="Y4:Z15">
    <sortCondition ref="Z3:Z15"/>
  </sortState>
  <tableColumns count="2">
    <tableColumn id="1" xr3:uid="{2E24923E-ACB4-4CBB-915E-A24B69AAAD42}" name="Modelo de Estutura LT - CE" dataDxfId="2031"/>
    <tableColumn id="2" xr3:uid="{53F9094A-9A00-4FA6-8EDE-245CD6D85D5F}" name="Família" dataDxfId="2030"/>
  </tableColumns>
  <tableStyleInfo name="TableStyleMedium16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E6FE03-5852-4AD2-96EF-2BDE7BE2C16A}" name="Tabela10" displayName="Tabela10" ref="AB3:AE9" totalsRowShown="0" headerRowDxfId="2029" dataDxfId="2027" headerRowBorderDxfId="2028" tableBorderDxfId="2026" totalsRowBorderDxfId="2025">
  <autoFilter ref="AB3:AE9" xr:uid="{0D9055DE-E2C8-4897-BF1C-1EFEAC378588}"/>
  <tableColumns count="4">
    <tableColumn id="1" xr3:uid="{34A65EA7-38BE-4DD1-8880-813CC521F4A8}" name="REF." dataDxfId="2024"/>
    <tableColumn id="2" xr3:uid="{E6C80C4D-859F-4CD0-B80F-8AC788625299}" name="Complexo" dataDxfId="2023"/>
    <tableColumn id="3" xr3:uid="{BAE8D987-53A3-4D4B-A127-CB29EC79476A}" name="EQUIPE" dataDxfId="2022"/>
    <tableColumn id="4" xr3:uid="{753855A3-7C4B-4B69-9B65-1FFB8DBDF26C}" name="EQUIPAMENTOS" dataDxfId="2021"/>
  </tableColumns>
  <tableStyleInfo name="TableStyleMedium16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2F772F-DB2F-4244-A5F5-5927DF3A8E55}" name="Tabela612" displayName="Tabela612" ref="AG3:AJ338" totalsRowShown="0" headerRowDxfId="2020" headerRowBorderDxfId="2019" tableBorderDxfId="2018" totalsRowBorderDxfId="2017">
  <autoFilter ref="AG3:AJ338" xr:uid="{2301531F-CA30-44C3-9DE9-FF4A56358F67}"/>
  <tableColumns count="4">
    <tableColumn id="1" xr3:uid="{850C36BB-6F21-4357-92ED-774D2B0826F4}" name="Complexo" dataDxfId="2016"/>
    <tableColumn id="2" xr3:uid="{7656218D-EAC9-4098-9CED-41FC992BC354}" name="Instalação " dataDxfId="2015"/>
    <tableColumn id="3" xr3:uid="{DF97BBB2-2E39-44F8-BA8B-7E8DA84FDA57}" name="Localização" dataDxfId="2014"/>
    <tableColumn id="4" xr3:uid="{751F9209-4321-4389-8F88-3405FB83EC6C}" name="Ativos" dataDxfId="2013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microsoft.com/office/2007/relationships/slicer" Target="../slicers/slicer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microsoft.com/office/2007/relationships/slicer" Target="../slicers/slicer3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943C-79A3-419A-9EC3-4F19DFDD63C7}">
  <dimension ref="A2:K172"/>
  <sheetViews>
    <sheetView showGridLines="0" tabSelected="1" workbookViewId="0">
      <selection activeCell="A2" sqref="A2:I23"/>
    </sheetView>
  </sheetViews>
  <sheetFormatPr defaultRowHeight="15" x14ac:dyDescent="0.25"/>
  <cols>
    <col min="1" max="1" width="57.5703125" customWidth="1"/>
    <col min="2" max="2" width="15.5703125" style="8" customWidth="1"/>
    <col min="3" max="5" width="10.7109375" style="8" bestFit="1" customWidth="1"/>
    <col min="6" max="6" width="10.28515625" style="8" bestFit="1" customWidth="1"/>
    <col min="7" max="7" width="10.7109375" style="8" bestFit="1" customWidth="1"/>
    <col min="8" max="8" width="10.7109375" bestFit="1" customWidth="1"/>
    <col min="9" max="9" width="15.5703125" bestFit="1" customWidth="1"/>
    <col min="10" max="11" width="10.7109375" bestFit="1" customWidth="1"/>
  </cols>
  <sheetData>
    <row r="2" spans="1:11" ht="51.75" customHeight="1" thickBot="1" x14ac:dyDescent="0.3">
      <c r="A2" s="138" t="str">
        <f>"RESUMO DE ATIVIDADES DA PROGRAMAÇÃO 
SEMANA "&amp;TEXT(WEEKNUM(B4),"00")&amp;" - 2026 ÁGUA DOCE"</f>
        <v>RESUMO DE ATIVIDADES DA PROGRAMAÇÃO 
SEMANA 19 - 2026 ÁGUA DOCE</v>
      </c>
      <c r="B2" s="139"/>
      <c r="C2" s="139"/>
      <c r="D2" s="139"/>
      <c r="E2" s="139"/>
      <c r="F2" s="139"/>
      <c r="G2" s="139"/>
      <c r="H2" s="139"/>
      <c r="I2" s="139"/>
      <c r="J2" s="127"/>
      <c r="K2" s="127"/>
    </row>
    <row r="3" spans="1:11" ht="15" hidden="1" customHeight="1" thickBot="1" x14ac:dyDescent="0.3">
      <c r="A3" s="20" t="s">
        <v>0</v>
      </c>
      <c r="B3" s="21" t="s">
        <v>1</v>
      </c>
      <c r="C3" s="22"/>
      <c r="D3" s="22"/>
      <c r="E3" s="22"/>
      <c r="F3" s="22"/>
      <c r="G3" s="22"/>
      <c r="H3" s="22"/>
      <c r="I3" s="22"/>
    </row>
    <row r="4" spans="1:11" ht="15.75" thickBot="1" x14ac:dyDescent="0.3">
      <c r="A4" s="42" t="s">
        <v>2</v>
      </c>
      <c r="B4" s="129" t="s">
        <v>1062</v>
      </c>
      <c r="C4" s="129" t="s">
        <v>1063</v>
      </c>
      <c r="D4" s="129" t="s">
        <v>1064</v>
      </c>
      <c r="E4" s="129" t="s">
        <v>1066</v>
      </c>
      <c r="F4" s="129" t="s">
        <v>1065</v>
      </c>
      <c r="G4" s="129" t="s">
        <v>1067</v>
      </c>
      <c r="H4" s="129" t="s">
        <v>1068</v>
      </c>
      <c r="I4" s="45" t="s">
        <v>3</v>
      </c>
    </row>
    <row r="5" spans="1:11" ht="15.75" thickBot="1" x14ac:dyDescent="0.3">
      <c r="A5" s="19" t="s">
        <v>632</v>
      </c>
      <c r="B5" s="148">
        <v>46</v>
      </c>
      <c r="C5" s="148">
        <v>4</v>
      </c>
      <c r="D5" s="148">
        <v>4</v>
      </c>
      <c r="E5" s="148">
        <v>4</v>
      </c>
      <c r="F5" s="148">
        <v>4</v>
      </c>
      <c r="G5" s="148">
        <v>3</v>
      </c>
      <c r="H5" s="148"/>
      <c r="I5" s="148">
        <v>65</v>
      </c>
    </row>
    <row r="6" spans="1:11" ht="15.75" thickBot="1" x14ac:dyDescent="0.3">
      <c r="A6" s="23" t="s">
        <v>894</v>
      </c>
      <c r="B6" s="148">
        <v>36</v>
      </c>
      <c r="C6" s="148"/>
      <c r="D6" s="148"/>
      <c r="E6" s="148"/>
      <c r="F6" s="148"/>
      <c r="G6" s="148"/>
      <c r="H6" s="148"/>
      <c r="I6" s="148">
        <v>36</v>
      </c>
    </row>
    <row r="7" spans="1:11" ht="15.75" thickBot="1" x14ac:dyDescent="0.3">
      <c r="A7" s="23" t="s">
        <v>107</v>
      </c>
      <c r="B7" s="148">
        <v>2</v>
      </c>
      <c r="C7" s="148">
        <v>2</v>
      </c>
      <c r="D7" s="148">
        <v>2</v>
      </c>
      <c r="E7" s="148">
        <v>2</v>
      </c>
      <c r="F7" s="148">
        <v>2</v>
      </c>
      <c r="G7" s="148"/>
      <c r="H7" s="148"/>
      <c r="I7" s="148">
        <v>10</v>
      </c>
    </row>
    <row r="8" spans="1:11" ht="15.75" thickBot="1" x14ac:dyDescent="0.3">
      <c r="A8" s="23" t="s">
        <v>651</v>
      </c>
      <c r="B8" s="148">
        <v>3</v>
      </c>
      <c r="C8" s="148">
        <v>1</v>
      </c>
      <c r="D8" s="148">
        <v>1</v>
      </c>
      <c r="E8" s="148">
        <v>1</v>
      </c>
      <c r="F8" s="148">
        <v>1</v>
      </c>
      <c r="G8" s="148">
        <v>1</v>
      </c>
      <c r="H8" s="148"/>
      <c r="I8" s="148">
        <v>8</v>
      </c>
    </row>
    <row r="9" spans="1:11" ht="15.75" thickBot="1" x14ac:dyDescent="0.3">
      <c r="A9" s="23" t="s">
        <v>637</v>
      </c>
      <c r="B9" s="148">
        <v>2</v>
      </c>
      <c r="C9" s="148">
        <v>1</v>
      </c>
      <c r="D9" s="148">
        <v>1</v>
      </c>
      <c r="E9" s="148">
        <v>1</v>
      </c>
      <c r="F9" s="148">
        <v>1</v>
      </c>
      <c r="G9" s="148"/>
      <c r="H9" s="148"/>
      <c r="I9" s="148">
        <v>6</v>
      </c>
    </row>
    <row r="10" spans="1:11" ht="15.75" thickBot="1" x14ac:dyDescent="0.3">
      <c r="A10" s="23" t="s">
        <v>657</v>
      </c>
      <c r="B10" s="148">
        <v>2</v>
      </c>
      <c r="C10" s="148"/>
      <c r="D10" s="148"/>
      <c r="E10" s="148"/>
      <c r="F10" s="148"/>
      <c r="G10" s="148"/>
      <c r="H10" s="148"/>
      <c r="I10" s="148">
        <v>2</v>
      </c>
    </row>
    <row r="11" spans="1:11" ht="15.75" thickBot="1" x14ac:dyDescent="0.3">
      <c r="A11" s="23" t="s">
        <v>685</v>
      </c>
      <c r="B11" s="148">
        <v>1</v>
      </c>
      <c r="C11" s="148"/>
      <c r="D11" s="148"/>
      <c r="E11" s="148"/>
      <c r="F11" s="148"/>
      <c r="G11" s="148"/>
      <c r="H11" s="148"/>
      <c r="I11" s="148">
        <v>1</v>
      </c>
    </row>
    <row r="12" spans="1:11" ht="15.75" thickBot="1" x14ac:dyDescent="0.3">
      <c r="A12" s="23" t="s">
        <v>707</v>
      </c>
      <c r="B12" s="148"/>
      <c r="C12" s="148"/>
      <c r="D12" s="148"/>
      <c r="E12" s="148"/>
      <c r="F12" s="148"/>
      <c r="G12" s="148">
        <v>1</v>
      </c>
      <c r="H12" s="148"/>
      <c r="I12" s="148">
        <v>1</v>
      </c>
    </row>
    <row r="13" spans="1:11" ht="15.75" thickBot="1" x14ac:dyDescent="0.3">
      <c r="A13" s="23" t="s">
        <v>880</v>
      </c>
      <c r="B13" s="148"/>
      <c r="C13" s="148"/>
      <c r="D13" s="148"/>
      <c r="E13" s="148"/>
      <c r="F13" s="148"/>
      <c r="G13" s="148">
        <v>1</v>
      </c>
      <c r="H13" s="148"/>
      <c r="I13" s="148">
        <v>1</v>
      </c>
    </row>
    <row r="14" spans="1:11" ht="15.75" thickBot="1" x14ac:dyDescent="0.3">
      <c r="A14" s="19" t="s">
        <v>634</v>
      </c>
      <c r="B14" s="148">
        <v>5</v>
      </c>
      <c r="C14" s="148"/>
      <c r="D14" s="148"/>
      <c r="E14" s="148"/>
      <c r="F14" s="148"/>
      <c r="G14" s="148"/>
      <c r="H14" s="148"/>
      <c r="I14" s="148">
        <v>5</v>
      </c>
    </row>
    <row r="15" spans="1:11" ht="15.75" thickBot="1" x14ac:dyDescent="0.3">
      <c r="A15" s="23" t="s">
        <v>655</v>
      </c>
      <c r="B15" s="148">
        <v>4</v>
      </c>
      <c r="C15" s="148"/>
      <c r="D15" s="148"/>
      <c r="E15" s="148"/>
      <c r="F15" s="148"/>
      <c r="G15" s="148"/>
      <c r="H15" s="148"/>
      <c r="I15" s="148">
        <v>4</v>
      </c>
    </row>
    <row r="16" spans="1:11" ht="15.75" thickBot="1" x14ac:dyDescent="0.3">
      <c r="A16" s="23" t="s">
        <v>1007</v>
      </c>
      <c r="B16" s="148">
        <v>1</v>
      </c>
      <c r="C16" s="148"/>
      <c r="D16" s="148"/>
      <c r="E16" s="148"/>
      <c r="F16" s="148"/>
      <c r="G16" s="148"/>
      <c r="H16" s="148"/>
      <c r="I16" s="148">
        <v>1</v>
      </c>
    </row>
    <row r="17" spans="1:9" ht="15.75" thickBot="1" x14ac:dyDescent="0.3">
      <c r="A17" s="19" t="s">
        <v>635</v>
      </c>
      <c r="B17" s="148">
        <v>7</v>
      </c>
      <c r="C17" s="148">
        <v>8</v>
      </c>
      <c r="D17" s="148">
        <v>2</v>
      </c>
      <c r="E17" s="148">
        <v>2</v>
      </c>
      <c r="F17" s="148">
        <v>8</v>
      </c>
      <c r="G17" s="148">
        <v>6</v>
      </c>
      <c r="H17" s="148">
        <v>2</v>
      </c>
      <c r="I17" s="148">
        <v>35</v>
      </c>
    </row>
    <row r="18" spans="1:9" ht="15.75" thickBot="1" x14ac:dyDescent="0.3">
      <c r="A18" s="23" t="s">
        <v>639</v>
      </c>
      <c r="B18" s="148">
        <v>4</v>
      </c>
      <c r="C18" s="148">
        <v>5</v>
      </c>
      <c r="D18" s="148">
        <v>1</v>
      </c>
      <c r="E18" s="148">
        <v>1</v>
      </c>
      <c r="F18" s="148">
        <v>5</v>
      </c>
      <c r="G18" s="148">
        <v>4</v>
      </c>
      <c r="H18" s="148"/>
      <c r="I18" s="148">
        <v>20</v>
      </c>
    </row>
    <row r="19" spans="1:9" ht="15.75" thickBot="1" x14ac:dyDescent="0.3">
      <c r="A19" s="23" t="s">
        <v>651</v>
      </c>
      <c r="B19" s="148">
        <v>1</v>
      </c>
      <c r="C19" s="148">
        <v>2</v>
      </c>
      <c r="D19" s="148">
        <v>1</v>
      </c>
      <c r="E19" s="148">
        <v>1</v>
      </c>
      <c r="F19" s="148">
        <v>2</v>
      </c>
      <c r="G19" s="148">
        <v>1</v>
      </c>
      <c r="H19" s="148">
        <v>1</v>
      </c>
      <c r="I19" s="148">
        <v>9</v>
      </c>
    </row>
    <row r="20" spans="1:9" ht="15.75" thickBot="1" x14ac:dyDescent="0.3">
      <c r="A20" s="23" t="s">
        <v>657</v>
      </c>
      <c r="B20" s="148">
        <v>1</v>
      </c>
      <c r="C20" s="148">
        <v>1</v>
      </c>
      <c r="D20" s="148"/>
      <c r="E20" s="148"/>
      <c r="F20" s="148">
        <v>1</v>
      </c>
      <c r="G20" s="148">
        <v>1</v>
      </c>
      <c r="H20" s="148"/>
      <c r="I20" s="148">
        <v>4</v>
      </c>
    </row>
    <row r="21" spans="1:9" ht="15.75" thickBot="1" x14ac:dyDescent="0.3">
      <c r="A21" s="23" t="s">
        <v>1011</v>
      </c>
      <c r="B21" s="148">
        <v>1</v>
      </c>
      <c r="C21" s="148"/>
      <c r="D21" s="148"/>
      <c r="E21" s="148"/>
      <c r="F21" s="148"/>
      <c r="G21" s="148"/>
      <c r="H21" s="148"/>
      <c r="I21" s="148">
        <v>1</v>
      </c>
    </row>
    <row r="22" spans="1:9" ht="15.75" thickBot="1" x14ac:dyDescent="0.3">
      <c r="A22" s="23" t="s">
        <v>1035</v>
      </c>
      <c r="B22" s="148"/>
      <c r="C22" s="148"/>
      <c r="D22" s="148"/>
      <c r="E22" s="148"/>
      <c r="F22" s="148"/>
      <c r="G22" s="148"/>
      <c r="H22" s="148">
        <v>1</v>
      </c>
      <c r="I22" s="148">
        <v>1</v>
      </c>
    </row>
    <row r="23" spans="1:9" ht="15.75" thickBot="1" x14ac:dyDescent="0.3">
      <c r="A23" s="43" t="s">
        <v>3</v>
      </c>
      <c r="B23" s="149">
        <v>58</v>
      </c>
      <c r="C23" s="149">
        <v>12</v>
      </c>
      <c r="D23" s="149">
        <v>6</v>
      </c>
      <c r="E23" s="149">
        <v>6</v>
      </c>
      <c r="F23" s="149">
        <v>12</v>
      </c>
      <c r="G23" s="149">
        <v>9</v>
      </c>
      <c r="H23" s="149">
        <v>2</v>
      </c>
      <c r="I23" s="149">
        <v>105</v>
      </c>
    </row>
    <row r="24" spans="1:9" x14ac:dyDescent="0.25">
      <c r="B24"/>
      <c r="C24"/>
      <c r="D24"/>
      <c r="E24"/>
      <c r="F24"/>
      <c r="G24"/>
    </row>
    <row r="25" spans="1:9" ht="15.75" thickBot="1" x14ac:dyDescent="0.3">
      <c r="B25"/>
      <c r="C25"/>
      <c r="D25"/>
      <c r="E25"/>
      <c r="F25"/>
      <c r="G25"/>
    </row>
    <row r="26" spans="1:9" ht="15.75" thickBot="1" x14ac:dyDescent="0.3">
      <c r="B26"/>
      <c r="C26"/>
      <c r="D26"/>
      <c r="E26"/>
      <c r="F26"/>
      <c r="G26"/>
    </row>
    <row r="27" spans="1:9" ht="15.75" thickBot="1" x14ac:dyDescent="0.3">
      <c r="B27"/>
      <c r="C27"/>
      <c r="D27"/>
      <c r="E27"/>
      <c r="F27"/>
      <c r="G27"/>
    </row>
    <row r="28" spans="1:9" ht="15.75" thickBot="1" x14ac:dyDescent="0.3">
      <c r="B28"/>
      <c r="C28"/>
      <c r="D28"/>
      <c r="E28"/>
      <c r="F28"/>
      <c r="G28"/>
    </row>
    <row r="29" spans="1:9" ht="15.75" thickBot="1" x14ac:dyDescent="0.3">
      <c r="B29"/>
      <c r="C29"/>
      <c r="D29"/>
      <c r="E29"/>
      <c r="F29"/>
      <c r="G29"/>
    </row>
    <row r="30" spans="1:9" ht="15.75" thickBot="1" x14ac:dyDescent="0.3">
      <c r="B30"/>
      <c r="C30"/>
      <c r="D30"/>
      <c r="E30"/>
      <c r="F30"/>
      <c r="G30"/>
    </row>
    <row r="31" spans="1:9" ht="15.75" thickBot="1" x14ac:dyDescent="0.3">
      <c r="B31"/>
      <c r="C31"/>
      <c r="D31"/>
      <c r="E31"/>
      <c r="F31"/>
      <c r="G31"/>
    </row>
    <row r="32" spans="1:9" ht="15.75" thickBot="1" x14ac:dyDescent="0.3">
      <c r="B32"/>
      <c r="C32"/>
      <c r="D32"/>
      <c r="E32"/>
      <c r="F32"/>
      <c r="G32"/>
    </row>
    <row r="33" customFormat="1" ht="15.75" thickBot="1" x14ac:dyDescent="0.3"/>
    <row r="34" customFormat="1" ht="15.75" thickBot="1" x14ac:dyDescent="0.3"/>
    <row r="35" customFormat="1" ht="15.75" thickBot="1" x14ac:dyDescent="0.3"/>
    <row r="36" customFormat="1" ht="15.75" thickBot="1" x14ac:dyDescent="0.3"/>
    <row r="37" customFormat="1" ht="15.75" thickBot="1" x14ac:dyDescent="0.3"/>
    <row r="38" customFormat="1" ht="15.75" thickBot="1" x14ac:dyDescent="0.3"/>
    <row r="39" customFormat="1" ht="15.75" thickBot="1" x14ac:dyDescent="0.3"/>
    <row r="40" customFormat="1" ht="15.75" thickBot="1" x14ac:dyDescent="0.3"/>
    <row r="41" customFormat="1" ht="15.75" thickBot="1" x14ac:dyDescent="0.3"/>
    <row r="42" customFormat="1" ht="15.75" thickBot="1" x14ac:dyDescent="0.3"/>
    <row r="43" customFormat="1" ht="15.75" thickBot="1" x14ac:dyDescent="0.3"/>
    <row r="44" customFormat="1" ht="15.75" thickBot="1" x14ac:dyDescent="0.3"/>
    <row r="45" customFormat="1" ht="15.75" thickBot="1" x14ac:dyDescent="0.3"/>
    <row r="46" customFormat="1" ht="15.75" thickBot="1" x14ac:dyDescent="0.3"/>
    <row r="47" customFormat="1" ht="15.75" thickBot="1" x14ac:dyDescent="0.3"/>
    <row r="48" customFormat="1" ht="15.75" thickBot="1" x14ac:dyDescent="0.3"/>
    <row r="49" customFormat="1" ht="15.75" thickBot="1" x14ac:dyDescent="0.3"/>
    <row r="50" customFormat="1" ht="15.75" thickBot="1" x14ac:dyDescent="0.3"/>
    <row r="51" customFormat="1" ht="15.75" thickBot="1" x14ac:dyDescent="0.3"/>
    <row r="52" customFormat="1" ht="15.75" thickBot="1" x14ac:dyDescent="0.3"/>
    <row r="53" customFormat="1" ht="15.75" thickBot="1" x14ac:dyDescent="0.3"/>
    <row r="54" customFormat="1" ht="15.75" thickBot="1" x14ac:dyDescent="0.3"/>
    <row r="55" customFormat="1" ht="15.75" thickBot="1" x14ac:dyDescent="0.3"/>
    <row r="56" customFormat="1" ht="15.75" thickBot="1" x14ac:dyDescent="0.3"/>
    <row r="57" customFormat="1" ht="15.75" thickBot="1" x14ac:dyDescent="0.3"/>
    <row r="58" customFormat="1" ht="15.75" thickBot="1" x14ac:dyDescent="0.3"/>
    <row r="59" customFormat="1" ht="15.75" thickBot="1" x14ac:dyDescent="0.3"/>
    <row r="60" customFormat="1" ht="15.75" thickBot="1" x14ac:dyDescent="0.3"/>
    <row r="61" customFormat="1" ht="15.75" thickBot="1" x14ac:dyDescent="0.3"/>
    <row r="62" customFormat="1" ht="15.75" thickBot="1" x14ac:dyDescent="0.3"/>
    <row r="63" customFormat="1" ht="15.75" thickBot="1" x14ac:dyDescent="0.3"/>
    <row r="64" customFormat="1" ht="15.75" thickBot="1" x14ac:dyDescent="0.3"/>
    <row r="65" customFormat="1" ht="15.75" thickBot="1" x14ac:dyDescent="0.3"/>
    <row r="66" customFormat="1" ht="15.75" thickBot="1" x14ac:dyDescent="0.3"/>
    <row r="67" customFormat="1" ht="15.75" thickBot="1" x14ac:dyDescent="0.3"/>
    <row r="68" customFormat="1" ht="15.75" thickBot="1" x14ac:dyDescent="0.3"/>
    <row r="69" customFormat="1" ht="15.75" thickBot="1" x14ac:dyDescent="0.3"/>
    <row r="70" customFormat="1" ht="15.75" thickBot="1" x14ac:dyDescent="0.3"/>
    <row r="71" customFormat="1" ht="15.75" thickBot="1" x14ac:dyDescent="0.3"/>
    <row r="72" customFormat="1" ht="15.75" thickBot="1" x14ac:dyDescent="0.3"/>
    <row r="73" customFormat="1" ht="15.75" thickBot="1" x14ac:dyDescent="0.3"/>
    <row r="74" customFormat="1" ht="15.75" thickBot="1" x14ac:dyDescent="0.3"/>
    <row r="75" customFormat="1" ht="15.75" thickBot="1" x14ac:dyDescent="0.3"/>
    <row r="76" customFormat="1" ht="15.75" thickBot="1" x14ac:dyDescent="0.3"/>
    <row r="77" customFormat="1" ht="15.75" thickBot="1" x14ac:dyDescent="0.3"/>
    <row r="78" customFormat="1" ht="15.75" thickBot="1" x14ac:dyDescent="0.3"/>
    <row r="79" customFormat="1" ht="15.75" thickBot="1" x14ac:dyDescent="0.3"/>
    <row r="80" customFormat="1" ht="15.75" thickBot="1" x14ac:dyDescent="0.3"/>
    <row r="81" customFormat="1" ht="15.75" thickBot="1" x14ac:dyDescent="0.3"/>
    <row r="82" customFormat="1" ht="15.75" thickBot="1" x14ac:dyDescent="0.3"/>
    <row r="83" customFormat="1" ht="15.75" thickBot="1" x14ac:dyDescent="0.3"/>
    <row r="84" customFormat="1" ht="15.75" thickBot="1" x14ac:dyDescent="0.3"/>
    <row r="85" customFormat="1" ht="15.75" thickBot="1" x14ac:dyDescent="0.3"/>
    <row r="86" customFormat="1" ht="15.75" thickBot="1" x14ac:dyDescent="0.3"/>
    <row r="87" customFormat="1" ht="15.75" thickBot="1" x14ac:dyDescent="0.3"/>
    <row r="88" customFormat="1" ht="15.75" thickBot="1" x14ac:dyDescent="0.3"/>
    <row r="89" customFormat="1" ht="15.75" thickBot="1" x14ac:dyDescent="0.3"/>
    <row r="90" customFormat="1" ht="15.75" thickBot="1" x14ac:dyDescent="0.3"/>
    <row r="91" customFormat="1" ht="15.75" thickBot="1" x14ac:dyDescent="0.3"/>
    <row r="92" customFormat="1" ht="15.75" thickBot="1" x14ac:dyDescent="0.3"/>
    <row r="93" customFormat="1" ht="15.75" thickBot="1" x14ac:dyDescent="0.3"/>
    <row r="94" customFormat="1" ht="15.75" thickBot="1" x14ac:dyDescent="0.3"/>
    <row r="95" customFormat="1" ht="15.75" thickBot="1" x14ac:dyDescent="0.3"/>
    <row r="96" customFormat="1" ht="15.75" thickBot="1" x14ac:dyDescent="0.3"/>
    <row r="97" customFormat="1" ht="15.75" thickBot="1" x14ac:dyDescent="0.3"/>
    <row r="98" customFormat="1" ht="15.75" thickBot="1" x14ac:dyDescent="0.3"/>
    <row r="99" customFormat="1" ht="15.75" thickBot="1" x14ac:dyDescent="0.3"/>
    <row r="100" customFormat="1" ht="15.75" thickBot="1" x14ac:dyDescent="0.3"/>
    <row r="101" customFormat="1" ht="15.75" thickBot="1" x14ac:dyDescent="0.3"/>
    <row r="102" customFormat="1" ht="15.75" thickBot="1" x14ac:dyDescent="0.3"/>
    <row r="103" customFormat="1" ht="15.75" thickBot="1" x14ac:dyDescent="0.3"/>
    <row r="104" customFormat="1" ht="15.75" thickBot="1" x14ac:dyDescent="0.3"/>
    <row r="105" customFormat="1" ht="15.75" thickBot="1" x14ac:dyDescent="0.3"/>
    <row r="106" customFormat="1" ht="15.75" thickBot="1" x14ac:dyDescent="0.3"/>
    <row r="107" customFormat="1" ht="15.75" thickBot="1" x14ac:dyDescent="0.3"/>
    <row r="108" customFormat="1" ht="15.75" thickBot="1" x14ac:dyDescent="0.3"/>
    <row r="109" customFormat="1" ht="15.75" thickBot="1" x14ac:dyDescent="0.3"/>
    <row r="110" customFormat="1" ht="15.75" thickBot="1" x14ac:dyDescent="0.3"/>
    <row r="111" customFormat="1" ht="15.75" thickBot="1" x14ac:dyDescent="0.3"/>
    <row r="112" customFormat="1" ht="15.75" thickBot="1" x14ac:dyDescent="0.3"/>
    <row r="113" customFormat="1" ht="15.75" thickBot="1" x14ac:dyDescent="0.3"/>
    <row r="114" customFormat="1" ht="15.75" thickBot="1" x14ac:dyDescent="0.3"/>
    <row r="115" customFormat="1" ht="15.75" thickBot="1" x14ac:dyDescent="0.3"/>
    <row r="116" customFormat="1" ht="15.75" thickBot="1" x14ac:dyDescent="0.3"/>
    <row r="117" customFormat="1" ht="15.75" thickBot="1" x14ac:dyDescent="0.3"/>
    <row r="118" customFormat="1" ht="15.75" thickBot="1" x14ac:dyDescent="0.3"/>
    <row r="119" customFormat="1" ht="15.75" thickBot="1" x14ac:dyDescent="0.3"/>
    <row r="120" customFormat="1" ht="15.75" thickBot="1" x14ac:dyDescent="0.3"/>
    <row r="121" customFormat="1" ht="15.75" thickBot="1" x14ac:dyDescent="0.3"/>
    <row r="122" customFormat="1" ht="15.75" thickBot="1" x14ac:dyDescent="0.3"/>
    <row r="123" customFormat="1" ht="15.75" thickBot="1" x14ac:dyDescent="0.3"/>
    <row r="124" customFormat="1" x14ac:dyDescent="0.25"/>
    <row r="125" customFormat="1" ht="15.75" thickBot="1" x14ac:dyDescent="0.3"/>
    <row r="126" customFormat="1" ht="15.75" thickBot="1" x14ac:dyDescent="0.3"/>
    <row r="127" customFormat="1" ht="15.75" thickBot="1" x14ac:dyDescent="0.3"/>
    <row r="128" customFormat="1" ht="15.75" thickBot="1" x14ac:dyDescent="0.3"/>
    <row r="129" customFormat="1" ht="15.75" thickBot="1" x14ac:dyDescent="0.3"/>
    <row r="130" customFormat="1" ht="15.75" thickBot="1" x14ac:dyDescent="0.3"/>
    <row r="131" customFormat="1" ht="15.75" thickBot="1" x14ac:dyDescent="0.3"/>
    <row r="132" customFormat="1" ht="15.75" thickBot="1" x14ac:dyDescent="0.3"/>
    <row r="133" customFormat="1" ht="15.75" thickBot="1" x14ac:dyDescent="0.3"/>
    <row r="134" customFormat="1" ht="15.75" thickBot="1" x14ac:dyDescent="0.3"/>
    <row r="135" customFormat="1" ht="15.75" thickBot="1" x14ac:dyDescent="0.3"/>
    <row r="136" customFormat="1" ht="15.75" thickBot="1" x14ac:dyDescent="0.3"/>
    <row r="137" customFormat="1" ht="15.75" thickBot="1" x14ac:dyDescent="0.3"/>
    <row r="138" customFormat="1" ht="15.75" thickBot="1" x14ac:dyDescent="0.3"/>
    <row r="139" customFormat="1" ht="15.75" thickBot="1" x14ac:dyDescent="0.3"/>
    <row r="140" customFormat="1" ht="15.75" thickBot="1" x14ac:dyDescent="0.3"/>
    <row r="141" customFormat="1" ht="15.75" thickBot="1" x14ac:dyDescent="0.3"/>
    <row r="142" customFormat="1" ht="15.75" thickBot="1" x14ac:dyDescent="0.3"/>
    <row r="143" customFormat="1" ht="15.75" thickBot="1" x14ac:dyDescent="0.3"/>
    <row r="144" customFormat="1" ht="15.75" thickBot="1" x14ac:dyDescent="0.3"/>
    <row r="145" customFormat="1" ht="15.75" thickBot="1" x14ac:dyDescent="0.3"/>
    <row r="146" customFormat="1" ht="15.75" thickBot="1" x14ac:dyDescent="0.3"/>
    <row r="147" customFormat="1" ht="15.75" thickBot="1" x14ac:dyDescent="0.3"/>
    <row r="148" customFormat="1" ht="15.75" thickBot="1" x14ac:dyDescent="0.3"/>
    <row r="149" customFormat="1" ht="15.75" thickBot="1" x14ac:dyDescent="0.3"/>
    <row r="150" customFormat="1" ht="15.75" thickBot="1" x14ac:dyDescent="0.3"/>
    <row r="151" customFormat="1" ht="15.75" thickBot="1" x14ac:dyDescent="0.3"/>
    <row r="152" customFormat="1" x14ac:dyDescent="0.25"/>
    <row r="153" customFormat="1" ht="15.75" thickBot="1" x14ac:dyDescent="0.3"/>
    <row r="154" customFormat="1" ht="15.75" thickBot="1" x14ac:dyDescent="0.3"/>
    <row r="155" customFormat="1" ht="15.75" thickBot="1" x14ac:dyDescent="0.3"/>
    <row r="156" customFormat="1" ht="15.75" thickBot="1" x14ac:dyDescent="0.3"/>
    <row r="157" customFormat="1" ht="15.75" thickBot="1" x14ac:dyDescent="0.3"/>
    <row r="158" customFormat="1" ht="15.75" thickBot="1" x14ac:dyDescent="0.3"/>
    <row r="159" customFormat="1" ht="15.75" thickBot="1" x14ac:dyDescent="0.3"/>
    <row r="160" customFormat="1" ht="15.75" thickBot="1" x14ac:dyDescent="0.3"/>
    <row r="161" customFormat="1" ht="15.75" thickBot="1" x14ac:dyDescent="0.3"/>
    <row r="162" customFormat="1" ht="15.75" thickBot="1" x14ac:dyDescent="0.3"/>
    <row r="163" customFormat="1" ht="15.75" thickBot="1" x14ac:dyDescent="0.3"/>
    <row r="164" customFormat="1" ht="15.75" thickBot="1" x14ac:dyDescent="0.3"/>
    <row r="165" customFormat="1" ht="15.75" thickBot="1" x14ac:dyDescent="0.3"/>
    <row r="166" customFormat="1" ht="15.75" thickBot="1" x14ac:dyDescent="0.3"/>
    <row r="167" customFormat="1" ht="15.75" thickBot="1" x14ac:dyDescent="0.3"/>
    <row r="168" customFormat="1" ht="15.75" thickBot="1" x14ac:dyDescent="0.3"/>
    <row r="169" customFormat="1" ht="15.75" thickBot="1" x14ac:dyDescent="0.3"/>
    <row r="170" customFormat="1" ht="15.75" thickBot="1" x14ac:dyDescent="0.3"/>
    <row r="171" customFormat="1" ht="15.75" thickBot="1" x14ac:dyDescent="0.3"/>
    <row r="172" customFormat="1" ht="15.75" thickBot="1" x14ac:dyDescent="0.3"/>
  </sheetData>
  <mergeCells count="1">
    <mergeCell ref="A2:I2"/>
  </mergeCell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E8FB-FD40-413F-8AE7-CBA21D8092C8}">
  <dimension ref="A1:J28"/>
  <sheetViews>
    <sheetView showGridLines="0" workbookViewId="0">
      <selection sqref="A1:B26"/>
    </sheetView>
  </sheetViews>
  <sheetFormatPr defaultRowHeight="15" x14ac:dyDescent="0.25"/>
  <cols>
    <col min="1" max="1" width="47.42578125" bestFit="1" customWidth="1"/>
    <col min="2" max="2" width="10.7109375" bestFit="1" customWidth="1"/>
    <col min="4" max="4" width="51.28515625" bestFit="1" customWidth="1"/>
    <col min="5" max="5" width="10.42578125" bestFit="1" customWidth="1"/>
    <col min="7" max="7" width="52" bestFit="1" customWidth="1"/>
    <col min="8" max="8" width="11.7109375" customWidth="1"/>
  </cols>
  <sheetData>
    <row r="1" spans="1:10" ht="21" x14ac:dyDescent="0.25">
      <c r="A1" s="140" t="s">
        <v>1061</v>
      </c>
      <c r="B1" s="141"/>
      <c r="C1" s="125"/>
      <c r="D1" s="140" t="s">
        <v>1061</v>
      </c>
      <c r="E1" s="141"/>
      <c r="F1" s="125"/>
      <c r="G1" s="140" t="s">
        <v>1061</v>
      </c>
      <c r="H1" s="141"/>
      <c r="I1" s="125"/>
      <c r="J1" s="125"/>
    </row>
    <row r="2" spans="1:10" x14ac:dyDescent="0.25">
      <c r="A2" s="121" t="s">
        <v>10</v>
      </c>
      <c r="B2" t="s">
        <v>632</v>
      </c>
      <c r="D2" s="121" t="s">
        <v>10</v>
      </c>
      <c r="E2" t="s">
        <v>635</v>
      </c>
      <c r="G2" s="121" t="s">
        <v>10</v>
      </c>
      <c r="H2" t="s">
        <v>634</v>
      </c>
    </row>
    <row r="4" spans="1:10" x14ac:dyDescent="0.25">
      <c r="A4" s="121" t="s">
        <v>118</v>
      </c>
      <c r="B4" t="s">
        <v>650</v>
      </c>
      <c r="D4" s="121" t="s">
        <v>118</v>
      </c>
      <c r="E4" t="s">
        <v>650</v>
      </c>
      <c r="G4" s="121" t="s">
        <v>118</v>
      </c>
      <c r="H4" t="s">
        <v>650</v>
      </c>
    </row>
    <row r="5" spans="1:10" x14ac:dyDescent="0.25">
      <c r="A5" s="122" t="s">
        <v>706</v>
      </c>
      <c r="B5" s="147">
        <v>1</v>
      </c>
      <c r="D5" s="122" t="s">
        <v>636</v>
      </c>
      <c r="E5" s="147">
        <v>20</v>
      </c>
      <c r="G5" s="122" t="s">
        <v>654</v>
      </c>
      <c r="H5" s="147">
        <v>5</v>
      </c>
    </row>
    <row r="6" spans="1:10" x14ac:dyDescent="0.25">
      <c r="A6" s="123" t="s">
        <v>707</v>
      </c>
      <c r="B6" s="147">
        <v>1</v>
      </c>
      <c r="D6" s="123" t="s">
        <v>639</v>
      </c>
      <c r="E6" s="147">
        <v>20</v>
      </c>
      <c r="G6" s="123" t="s">
        <v>1007</v>
      </c>
      <c r="H6" s="147">
        <v>1</v>
      </c>
    </row>
    <row r="7" spans="1:10" x14ac:dyDescent="0.25">
      <c r="A7" s="122" t="s">
        <v>633</v>
      </c>
      <c r="B7" s="147">
        <v>16</v>
      </c>
      <c r="D7" s="124" t="s">
        <v>709</v>
      </c>
      <c r="E7" s="147">
        <v>4</v>
      </c>
      <c r="G7" s="124" t="s">
        <v>709</v>
      </c>
      <c r="H7" s="147">
        <v>1</v>
      </c>
    </row>
    <row r="8" spans="1:10" x14ac:dyDescent="0.25">
      <c r="A8" s="123" t="s">
        <v>107</v>
      </c>
      <c r="B8" s="147">
        <v>10</v>
      </c>
      <c r="D8" s="124" t="s">
        <v>715</v>
      </c>
      <c r="E8" s="147">
        <v>4</v>
      </c>
      <c r="G8" s="123" t="s">
        <v>655</v>
      </c>
      <c r="H8" s="147">
        <v>4</v>
      </c>
    </row>
    <row r="9" spans="1:10" x14ac:dyDescent="0.25">
      <c r="A9" s="123" t="s">
        <v>637</v>
      </c>
      <c r="B9" s="147">
        <v>6</v>
      </c>
      <c r="D9" s="124" t="s">
        <v>719</v>
      </c>
      <c r="E9" s="147">
        <v>4</v>
      </c>
      <c r="G9" s="124" t="s">
        <v>709</v>
      </c>
      <c r="H9" s="147">
        <v>4</v>
      </c>
    </row>
    <row r="10" spans="1:10" x14ac:dyDescent="0.25">
      <c r="A10" s="124" t="s">
        <v>696</v>
      </c>
      <c r="B10" s="147">
        <v>2</v>
      </c>
      <c r="D10" s="124" t="s">
        <v>724</v>
      </c>
      <c r="E10" s="147">
        <v>4</v>
      </c>
      <c r="G10" s="122" t="s">
        <v>3</v>
      </c>
      <c r="H10" s="147">
        <v>5</v>
      </c>
    </row>
    <row r="11" spans="1:10" x14ac:dyDescent="0.25">
      <c r="A11" s="124" t="s">
        <v>702</v>
      </c>
      <c r="B11" s="147">
        <v>1</v>
      </c>
      <c r="D11" s="124" t="s">
        <v>1060</v>
      </c>
      <c r="E11" s="147">
        <v>1</v>
      </c>
    </row>
    <row r="12" spans="1:10" x14ac:dyDescent="0.25">
      <c r="A12" s="124" t="s">
        <v>887</v>
      </c>
      <c r="B12" s="147">
        <v>2</v>
      </c>
      <c r="D12" s="124" t="s">
        <v>734</v>
      </c>
      <c r="E12" s="147">
        <v>1</v>
      </c>
    </row>
    <row r="13" spans="1:10" x14ac:dyDescent="0.25">
      <c r="A13" s="124" t="s">
        <v>885</v>
      </c>
      <c r="B13" s="147">
        <v>1</v>
      </c>
      <c r="D13" s="124" t="s">
        <v>1058</v>
      </c>
      <c r="E13" s="147">
        <v>1</v>
      </c>
    </row>
    <row r="14" spans="1:10" x14ac:dyDescent="0.25">
      <c r="A14" s="122" t="s">
        <v>751</v>
      </c>
      <c r="B14" s="147">
        <v>1</v>
      </c>
      <c r="D14" s="124" t="s">
        <v>1059</v>
      </c>
      <c r="E14" s="147">
        <v>1</v>
      </c>
    </row>
    <row r="15" spans="1:10" x14ac:dyDescent="0.25">
      <c r="A15" s="123" t="s">
        <v>880</v>
      </c>
      <c r="B15" s="147">
        <v>1</v>
      </c>
      <c r="D15" s="122" t="s">
        <v>651</v>
      </c>
      <c r="E15" s="147">
        <v>9</v>
      </c>
    </row>
    <row r="16" spans="1:10" x14ac:dyDescent="0.25">
      <c r="A16" s="124" t="s">
        <v>879</v>
      </c>
      <c r="B16" s="147">
        <v>1</v>
      </c>
      <c r="D16" s="122" t="s">
        <v>1035</v>
      </c>
      <c r="E16" s="147">
        <v>1</v>
      </c>
    </row>
    <row r="17" spans="1:5" x14ac:dyDescent="0.25">
      <c r="A17" s="122" t="s">
        <v>651</v>
      </c>
      <c r="B17" s="147">
        <v>8</v>
      </c>
      <c r="D17" s="123" t="s">
        <v>1035</v>
      </c>
      <c r="E17" s="147">
        <v>1</v>
      </c>
    </row>
    <row r="18" spans="1:5" x14ac:dyDescent="0.25">
      <c r="A18" s="122" t="s">
        <v>685</v>
      </c>
      <c r="B18" s="147">
        <v>1</v>
      </c>
      <c r="D18" s="124" t="s">
        <v>1034</v>
      </c>
      <c r="E18" s="147">
        <v>1</v>
      </c>
    </row>
    <row r="19" spans="1:5" x14ac:dyDescent="0.25">
      <c r="A19" s="123" t="s">
        <v>685</v>
      </c>
      <c r="B19" s="147">
        <v>1</v>
      </c>
      <c r="D19" s="122" t="s">
        <v>1037</v>
      </c>
      <c r="E19" s="147">
        <v>4</v>
      </c>
    </row>
    <row r="20" spans="1:5" x14ac:dyDescent="0.25">
      <c r="A20" s="124" t="s">
        <v>228</v>
      </c>
      <c r="B20" s="147">
        <v>1</v>
      </c>
      <c r="D20" s="123" t="s">
        <v>657</v>
      </c>
      <c r="E20" s="147">
        <v>4</v>
      </c>
    </row>
    <row r="21" spans="1:5" x14ac:dyDescent="0.25">
      <c r="A21" s="122" t="s">
        <v>657</v>
      </c>
      <c r="B21" s="147">
        <v>2</v>
      </c>
      <c r="D21" s="124" t="s">
        <v>709</v>
      </c>
      <c r="E21" s="147">
        <v>1</v>
      </c>
    </row>
    <row r="22" spans="1:5" x14ac:dyDescent="0.25">
      <c r="A22" s="123" t="s">
        <v>657</v>
      </c>
      <c r="B22" s="147">
        <v>2</v>
      </c>
      <c r="D22" s="124" t="s">
        <v>715</v>
      </c>
      <c r="E22" s="147">
        <v>1</v>
      </c>
    </row>
    <row r="23" spans="1:5" x14ac:dyDescent="0.25">
      <c r="A23" s="124" t="s">
        <v>660</v>
      </c>
      <c r="B23" s="147">
        <v>1</v>
      </c>
      <c r="D23" s="124" t="s">
        <v>719</v>
      </c>
      <c r="E23" s="147">
        <v>1</v>
      </c>
    </row>
    <row r="24" spans="1:5" x14ac:dyDescent="0.25">
      <c r="A24" s="124" t="s">
        <v>847</v>
      </c>
      <c r="B24" s="147">
        <v>1</v>
      </c>
      <c r="D24" s="124" t="s">
        <v>724</v>
      </c>
      <c r="E24" s="147">
        <v>1</v>
      </c>
    </row>
    <row r="25" spans="1:5" x14ac:dyDescent="0.25">
      <c r="A25" s="122" t="s">
        <v>764</v>
      </c>
      <c r="B25" s="147">
        <v>36</v>
      </c>
      <c r="D25" s="122" t="s">
        <v>1011</v>
      </c>
      <c r="E25" s="147">
        <v>1</v>
      </c>
    </row>
    <row r="26" spans="1:5" x14ac:dyDescent="0.25">
      <c r="A26" s="122" t="s">
        <v>3</v>
      </c>
      <c r="B26" s="147">
        <v>65</v>
      </c>
      <c r="D26" s="123" t="s">
        <v>1011</v>
      </c>
      <c r="E26" s="147">
        <v>1</v>
      </c>
    </row>
    <row r="27" spans="1:5" x14ac:dyDescent="0.25">
      <c r="D27" s="124"/>
      <c r="E27" s="147">
        <v>1</v>
      </c>
    </row>
    <row r="28" spans="1:5" x14ac:dyDescent="0.25">
      <c r="D28" s="122" t="s">
        <v>3</v>
      </c>
      <c r="E28" s="147">
        <v>35</v>
      </c>
    </row>
  </sheetData>
  <mergeCells count="3">
    <mergeCell ref="A1:B1"/>
    <mergeCell ref="D1:E1"/>
    <mergeCell ref="G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FF64-B7A8-4A98-8F20-26FDA9C9BA17}">
  <sheetPr>
    <tabColor theme="1"/>
    <pageSetUpPr fitToPage="1"/>
  </sheetPr>
  <dimension ref="A1:BK108"/>
  <sheetViews>
    <sheetView showGridLines="0" zoomScale="55" zoomScaleNormal="55" workbookViewId="0">
      <pane ySplit="3" topLeftCell="A64" activePane="bottomLeft" state="frozen"/>
      <selection pane="bottomLeft" activeCell="M88" sqref="M88"/>
    </sheetView>
  </sheetViews>
  <sheetFormatPr defaultRowHeight="30.75" customHeight="1" outlineLevelCol="2" x14ac:dyDescent="0.25"/>
  <cols>
    <col min="1" max="1" width="9" customWidth="1"/>
    <col min="2" max="2" width="16.5703125" customWidth="1"/>
    <col min="3" max="3" width="32.85546875" customWidth="1"/>
    <col min="4" max="4" width="26.7109375" customWidth="1" outlineLevel="2"/>
    <col min="5" max="5" width="56.7109375" customWidth="1" outlineLevel="2"/>
    <col min="6" max="6" width="80.42578125" bestFit="1" customWidth="1" outlineLevel="2"/>
    <col min="7" max="7" width="19.5703125" bestFit="1" customWidth="1" outlineLevel="2"/>
    <col min="8" max="8" width="17.140625" bestFit="1" customWidth="1"/>
    <col min="9" max="9" width="15.140625" customWidth="1"/>
    <col min="10" max="10" width="20.140625" customWidth="1"/>
    <col min="11" max="11" width="69.28515625" bestFit="1" customWidth="1"/>
    <col min="12" max="12" width="17.85546875" bestFit="1" customWidth="1"/>
    <col min="13" max="13" width="33.140625" style="1" customWidth="1"/>
    <col min="14" max="14" width="24.85546875" style="1" bestFit="1" customWidth="1"/>
    <col min="15" max="15" width="62.42578125" style="2" customWidth="1"/>
    <col min="16" max="16" width="84" style="2" customWidth="1"/>
    <col min="17" max="17" width="16.5703125" customWidth="1"/>
    <col min="18" max="18" width="24.140625" style="2" customWidth="1" outlineLevel="1"/>
    <col min="19" max="19" width="20.140625" customWidth="1" outlineLevel="1"/>
    <col min="20" max="20" width="21.7109375" style="8" customWidth="1"/>
    <col min="21" max="21" width="30.28515625" customWidth="1"/>
    <col min="22" max="22" width="44.7109375" customWidth="1"/>
    <col min="23" max="23" width="4.85546875" customWidth="1"/>
  </cols>
  <sheetData>
    <row r="1" spans="1:25" ht="79.5" customHeight="1" x14ac:dyDescent="0.25">
      <c r="A1" s="137" t="s">
        <v>735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Y1" t="e">
        <f>PROPER("ÍNDICE DE ADERÊNCIA A PROGRAMAÇÃO DE MANUTENÇÃO - "&amp;MID(A1,SEARCH("Ceará",A1,30),22))</f>
        <v>#VALUE!</v>
      </c>
    </row>
    <row r="2" spans="1:25" ht="8.25" customHeight="1" x14ac:dyDescent="0.25">
      <c r="Q2" s="2"/>
      <c r="S2" s="2"/>
      <c r="T2" s="2"/>
      <c r="W2" s="2"/>
    </row>
    <row r="3" spans="1:25" s="2" customFormat="1" ht="33.75" customHeight="1" x14ac:dyDescent="0.25">
      <c r="A3" s="37" t="s">
        <v>9</v>
      </c>
      <c r="B3" s="38" t="s">
        <v>10</v>
      </c>
      <c r="C3" s="39" t="s">
        <v>11</v>
      </c>
      <c r="D3" s="40" t="s">
        <v>12</v>
      </c>
      <c r="E3" s="40" t="s">
        <v>13</v>
      </c>
      <c r="F3" s="40" t="s">
        <v>14</v>
      </c>
      <c r="G3" s="40" t="s">
        <v>15</v>
      </c>
      <c r="H3" s="41" t="s">
        <v>16</v>
      </c>
      <c r="I3" s="41" t="s">
        <v>17</v>
      </c>
      <c r="J3" s="108" t="s">
        <v>18</v>
      </c>
      <c r="K3" s="108" t="s">
        <v>19</v>
      </c>
      <c r="L3" s="108" t="s">
        <v>20</v>
      </c>
      <c r="M3" s="109" t="s">
        <v>21</v>
      </c>
      <c r="N3" s="109" t="s">
        <v>22</v>
      </c>
      <c r="O3" s="108" t="s">
        <v>23</v>
      </c>
      <c r="P3" s="108" t="s">
        <v>24</v>
      </c>
      <c r="Q3" s="108" t="s">
        <v>25</v>
      </c>
      <c r="R3" s="108" t="s">
        <v>26</v>
      </c>
      <c r="S3" s="108" t="s">
        <v>27</v>
      </c>
      <c r="T3" s="108" t="s">
        <v>28</v>
      </c>
      <c r="U3" s="108" t="s">
        <v>29</v>
      </c>
      <c r="V3" s="108" t="s">
        <v>30</v>
      </c>
      <c r="W3" s="108" t="s">
        <v>31</v>
      </c>
    </row>
    <row r="4" spans="1:25" s="7" customFormat="1" ht="33.75" customHeight="1" x14ac:dyDescent="0.25">
      <c r="A4" s="3" t="s">
        <v>631</v>
      </c>
      <c r="B4" s="3" t="s">
        <v>632</v>
      </c>
      <c r="C4" s="3" t="s">
        <v>663</v>
      </c>
      <c r="D4" s="4" t="s">
        <v>71</v>
      </c>
      <c r="E4" s="18" t="s">
        <v>664</v>
      </c>
      <c r="F4" s="5" t="s">
        <v>651</v>
      </c>
      <c r="G4" s="4" t="s">
        <v>662</v>
      </c>
      <c r="H4" s="5" t="s">
        <v>235</v>
      </c>
      <c r="I4" s="5" t="s">
        <v>665</v>
      </c>
      <c r="J4" s="5" t="s">
        <v>666</v>
      </c>
      <c r="K4" s="5" t="s">
        <v>651</v>
      </c>
      <c r="L4" s="6" t="s">
        <v>667</v>
      </c>
      <c r="M4" s="6" t="s">
        <v>843</v>
      </c>
      <c r="N4" s="5" t="s">
        <v>668</v>
      </c>
      <c r="O4" s="5" t="s">
        <v>652</v>
      </c>
      <c r="P4" s="5" t="s">
        <v>669</v>
      </c>
      <c r="Q4" s="3" t="s">
        <v>670</v>
      </c>
      <c r="R4" s="3" t="s">
        <v>71</v>
      </c>
      <c r="S4" s="5" t="s">
        <v>71</v>
      </c>
      <c r="T4" s="29" t="s">
        <v>45</v>
      </c>
      <c r="U4" s="3"/>
      <c r="V4" s="5"/>
      <c r="W4" s="3"/>
    </row>
    <row r="5" spans="1:25" s="7" customFormat="1" ht="33.75" customHeight="1" x14ac:dyDescent="0.25">
      <c r="A5" s="3" t="s">
        <v>631</v>
      </c>
      <c r="B5" s="3" t="s">
        <v>632</v>
      </c>
      <c r="C5" s="3" t="s">
        <v>736</v>
      </c>
      <c r="D5" s="4" t="s">
        <v>71</v>
      </c>
      <c r="E5" s="25" t="s">
        <v>737</v>
      </c>
      <c r="F5" s="5" t="s">
        <v>651</v>
      </c>
      <c r="G5" s="4" t="s">
        <v>838</v>
      </c>
      <c r="H5" s="5" t="s">
        <v>839</v>
      </c>
      <c r="I5" s="5" t="s">
        <v>840</v>
      </c>
      <c r="J5" s="5" t="s">
        <v>841</v>
      </c>
      <c r="K5" s="5" t="s">
        <v>651</v>
      </c>
      <c r="L5" s="6" t="s">
        <v>842</v>
      </c>
      <c r="M5" s="6" t="s">
        <v>843</v>
      </c>
      <c r="N5" s="27" t="s">
        <v>686</v>
      </c>
      <c r="O5" s="28" t="s">
        <v>652</v>
      </c>
      <c r="P5" s="5" t="s">
        <v>844</v>
      </c>
      <c r="Q5" s="29" t="s">
        <v>845</v>
      </c>
      <c r="R5" s="30" t="s">
        <v>71</v>
      </c>
      <c r="S5" s="5" t="s">
        <v>71</v>
      </c>
      <c r="T5" s="29" t="s">
        <v>45</v>
      </c>
      <c r="U5" s="3"/>
      <c r="V5" s="5"/>
      <c r="W5" s="3"/>
    </row>
    <row r="6" spans="1:25" s="7" customFormat="1" ht="33.75" customHeight="1" x14ac:dyDescent="0.25">
      <c r="A6" s="3" t="s">
        <v>631</v>
      </c>
      <c r="B6" s="31" t="s">
        <v>632</v>
      </c>
      <c r="C6" s="31" t="s">
        <v>738</v>
      </c>
      <c r="D6" s="24" t="s">
        <v>71</v>
      </c>
      <c r="E6" s="32" t="s">
        <v>739</v>
      </c>
      <c r="F6" s="33" t="s">
        <v>657</v>
      </c>
      <c r="G6" s="4" t="s">
        <v>662</v>
      </c>
      <c r="H6" s="33" t="s">
        <v>235</v>
      </c>
      <c r="I6" s="33" t="s">
        <v>846</v>
      </c>
      <c r="J6" s="33" t="s">
        <v>847</v>
      </c>
      <c r="K6" s="33" t="s">
        <v>657</v>
      </c>
      <c r="L6" s="6" t="s">
        <v>848</v>
      </c>
      <c r="M6" s="6" t="s">
        <v>843</v>
      </c>
      <c r="N6" s="34" t="s">
        <v>849</v>
      </c>
      <c r="O6" s="35" t="s">
        <v>652</v>
      </c>
      <c r="P6" s="33" t="s">
        <v>850</v>
      </c>
      <c r="Q6" s="29" t="s">
        <v>71</v>
      </c>
      <c r="R6" s="36" t="s">
        <v>71</v>
      </c>
      <c r="S6" s="33" t="s">
        <v>71</v>
      </c>
      <c r="T6" s="29" t="s">
        <v>45</v>
      </c>
      <c r="U6" s="31"/>
      <c r="V6" s="33"/>
      <c r="W6" s="31"/>
    </row>
    <row r="7" spans="1:25" s="7" customFormat="1" ht="33.75" customHeight="1" x14ac:dyDescent="0.25">
      <c r="A7" s="3" t="s">
        <v>631</v>
      </c>
      <c r="B7" s="3" t="s">
        <v>632</v>
      </c>
      <c r="C7" s="3" t="s">
        <v>740</v>
      </c>
      <c r="D7" s="24" t="s">
        <v>71</v>
      </c>
      <c r="E7" s="25" t="s">
        <v>737</v>
      </c>
      <c r="F7" s="5" t="s">
        <v>651</v>
      </c>
      <c r="G7" s="4" t="s">
        <v>662</v>
      </c>
      <c r="H7" s="5" t="s">
        <v>839</v>
      </c>
      <c r="I7" s="5" t="s">
        <v>208</v>
      </c>
      <c r="J7" s="5" t="s">
        <v>71</v>
      </c>
      <c r="K7" s="5" t="s">
        <v>651</v>
      </c>
      <c r="L7" s="6" t="s">
        <v>851</v>
      </c>
      <c r="M7" s="6" t="s">
        <v>843</v>
      </c>
      <c r="N7" s="27" t="s">
        <v>852</v>
      </c>
      <c r="O7" s="28" t="s">
        <v>687</v>
      </c>
      <c r="P7" s="5" t="s">
        <v>853</v>
      </c>
      <c r="Q7" s="29" t="s">
        <v>71</v>
      </c>
      <c r="R7" s="30" t="s">
        <v>71</v>
      </c>
      <c r="S7" s="5" t="s">
        <v>71</v>
      </c>
      <c r="T7" s="29" t="s">
        <v>45</v>
      </c>
      <c r="U7" s="3"/>
      <c r="V7" s="5"/>
      <c r="W7" s="3"/>
    </row>
    <row r="8" spans="1:25" s="7" customFormat="1" ht="33.75" customHeight="1" x14ac:dyDescent="0.25">
      <c r="A8" s="3" t="s">
        <v>631</v>
      </c>
      <c r="B8" s="3" t="s">
        <v>632</v>
      </c>
      <c r="C8" s="3" t="s">
        <v>741</v>
      </c>
      <c r="D8" s="24" t="s">
        <v>71</v>
      </c>
      <c r="E8" s="25" t="s">
        <v>658</v>
      </c>
      <c r="F8" s="5" t="s">
        <v>657</v>
      </c>
      <c r="G8" s="4" t="s">
        <v>662</v>
      </c>
      <c r="H8" s="5" t="s">
        <v>235</v>
      </c>
      <c r="I8" s="5" t="s">
        <v>659</v>
      </c>
      <c r="J8" s="5" t="s">
        <v>660</v>
      </c>
      <c r="K8" s="5" t="s">
        <v>657</v>
      </c>
      <c r="L8" s="5" t="s">
        <v>661</v>
      </c>
      <c r="M8" s="6" t="s">
        <v>843</v>
      </c>
      <c r="N8" s="120" t="s">
        <v>852</v>
      </c>
      <c r="O8" s="28" t="s">
        <v>687</v>
      </c>
      <c r="P8" s="5" t="s">
        <v>854</v>
      </c>
      <c r="Q8" s="29" t="s">
        <v>71</v>
      </c>
      <c r="R8" s="30" t="s">
        <v>71</v>
      </c>
      <c r="S8" s="5" t="s">
        <v>71</v>
      </c>
      <c r="T8" s="29" t="s">
        <v>45</v>
      </c>
      <c r="U8" s="3"/>
      <c r="V8" s="5"/>
      <c r="W8" s="3"/>
    </row>
    <row r="9" spans="1:25" s="7" customFormat="1" ht="33.75" hidden="1" customHeight="1" x14ac:dyDescent="0.25">
      <c r="A9" s="3" t="s">
        <v>631</v>
      </c>
      <c r="B9" s="3" t="s">
        <v>632</v>
      </c>
      <c r="C9" s="3" t="s">
        <v>742</v>
      </c>
      <c r="D9" s="4" t="s">
        <v>71</v>
      </c>
      <c r="E9" s="25" t="s">
        <v>643</v>
      </c>
      <c r="F9" s="5" t="s">
        <v>651</v>
      </c>
      <c r="G9" s="4" t="s">
        <v>838</v>
      </c>
      <c r="H9" s="5" t="s">
        <v>275</v>
      </c>
      <c r="I9" s="5" t="s">
        <v>855</v>
      </c>
      <c r="J9" s="5" t="s">
        <v>856</v>
      </c>
      <c r="K9" s="5" t="s">
        <v>651</v>
      </c>
      <c r="L9" s="5" t="s">
        <v>857</v>
      </c>
      <c r="M9" s="6" t="s">
        <v>858</v>
      </c>
      <c r="N9" s="120" t="s">
        <v>859</v>
      </c>
      <c r="O9" s="28" t="s">
        <v>673</v>
      </c>
      <c r="P9" s="5" t="s">
        <v>860</v>
      </c>
      <c r="Q9" s="29" t="s">
        <v>861</v>
      </c>
      <c r="R9" s="30" t="s">
        <v>71</v>
      </c>
      <c r="S9" s="5" t="s">
        <v>71</v>
      </c>
      <c r="T9" s="29" t="s">
        <v>45</v>
      </c>
      <c r="U9" s="3"/>
      <c r="V9" s="5"/>
      <c r="W9" s="3"/>
    </row>
    <row r="10" spans="1:25" s="7" customFormat="1" ht="33.75" hidden="1" customHeight="1" x14ac:dyDescent="0.25">
      <c r="A10" s="3" t="s">
        <v>631</v>
      </c>
      <c r="B10" s="31" t="s">
        <v>632</v>
      </c>
      <c r="C10" s="31" t="s">
        <v>743</v>
      </c>
      <c r="D10" s="44" t="s">
        <v>71</v>
      </c>
      <c r="E10" s="32" t="s">
        <v>643</v>
      </c>
      <c r="F10" s="33" t="s">
        <v>651</v>
      </c>
      <c r="G10" s="4" t="s">
        <v>662</v>
      </c>
      <c r="H10" s="33" t="s">
        <v>275</v>
      </c>
      <c r="I10" s="33" t="s">
        <v>862</v>
      </c>
      <c r="J10" s="33" t="s">
        <v>863</v>
      </c>
      <c r="K10" s="33" t="s">
        <v>651</v>
      </c>
      <c r="L10" s="5" t="s">
        <v>864</v>
      </c>
      <c r="M10" s="6" t="s">
        <v>865</v>
      </c>
      <c r="N10" s="126" t="s">
        <v>866</v>
      </c>
      <c r="O10" s="35" t="s">
        <v>673</v>
      </c>
      <c r="P10" s="33" t="s">
        <v>860</v>
      </c>
      <c r="Q10" s="29" t="s">
        <v>867</v>
      </c>
      <c r="R10" s="36" t="s">
        <v>71</v>
      </c>
      <c r="S10" s="33" t="s">
        <v>71</v>
      </c>
      <c r="T10" s="29" t="s">
        <v>45</v>
      </c>
      <c r="U10" s="31"/>
      <c r="V10" s="33"/>
      <c r="W10" s="31"/>
    </row>
    <row r="11" spans="1:25" s="7" customFormat="1" ht="33.75" hidden="1" customHeight="1" x14ac:dyDescent="0.25">
      <c r="A11" s="3" t="s">
        <v>631</v>
      </c>
      <c r="B11" s="3" t="s">
        <v>632</v>
      </c>
      <c r="C11" s="3" t="s">
        <v>744</v>
      </c>
      <c r="D11" s="4" t="s">
        <v>71</v>
      </c>
      <c r="E11" s="25" t="s">
        <v>664</v>
      </c>
      <c r="F11" s="5" t="s">
        <v>651</v>
      </c>
      <c r="G11" s="4" t="s">
        <v>838</v>
      </c>
      <c r="H11" s="5" t="s">
        <v>235</v>
      </c>
      <c r="I11" s="5" t="s">
        <v>665</v>
      </c>
      <c r="J11" s="5" t="s">
        <v>666</v>
      </c>
      <c r="K11" s="5" t="s">
        <v>651</v>
      </c>
      <c r="L11" s="5" t="s">
        <v>667</v>
      </c>
      <c r="M11" s="6" t="s">
        <v>868</v>
      </c>
      <c r="N11" s="120" t="s">
        <v>869</v>
      </c>
      <c r="O11" s="28" t="s">
        <v>671</v>
      </c>
      <c r="P11" s="5" t="s">
        <v>870</v>
      </c>
      <c r="Q11" s="29" t="s">
        <v>871</v>
      </c>
      <c r="R11" s="30" t="s">
        <v>71</v>
      </c>
      <c r="S11" s="5" t="s">
        <v>71</v>
      </c>
      <c r="T11" s="29" t="s">
        <v>45</v>
      </c>
      <c r="U11" s="3"/>
      <c r="V11" s="5"/>
      <c r="W11" s="3"/>
    </row>
    <row r="12" spans="1:25" s="7" customFormat="1" ht="33.75" hidden="1" customHeight="1" x14ac:dyDescent="0.25">
      <c r="A12" s="3" t="s">
        <v>631</v>
      </c>
      <c r="B12" s="31" t="s">
        <v>632</v>
      </c>
      <c r="C12" s="31" t="s">
        <v>680</v>
      </c>
      <c r="D12" s="44" t="s">
        <v>71</v>
      </c>
      <c r="E12" s="32" t="s">
        <v>643</v>
      </c>
      <c r="F12" s="5" t="s">
        <v>651</v>
      </c>
      <c r="G12" s="4" t="s">
        <v>838</v>
      </c>
      <c r="H12" s="33" t="s">
        <v>275</v>
      </c>
      <c r="I12" s="33" t="s">
        <v>681</v>
      </c>
      <c r="J12" s="33" t="s">
        <v>682</v>
      </c>
      <c r="K12" s="33" t="s">
        <v>651</v>
      </c>
      <c r="L12" s="6" t="s">
        <v>683</v>
      </c>
      <c r="M12" s="6" t="s">
        <v>876</v>
      </c>
      <c r="N12" s="126" t="s">
        <v>877</v>
      </c>
      <c r="O12" s="35" t="s">
        <v>673</v>
      </c>
      <c r="P12" s="33" t="s">
        <v>684</v>
      </c>
      <c r="Q12" s="29" t="s">
        <v>878</v>
      </c>
      <c r="R12" s="36" t="s">
        <v>71</v>
      </c>
      <c r="S12" s="33" t="s">
        <v>71</v>
      </c>
      <c r="T12" s="29" t="s">
        <v>45</v>
      </c>
      <c r="U12" s="31"/>
      <c r="V12" s="33"/>
      <c r="W12" s="31"/>
    </row>
    <row r="13" spans="1:25" s="7" customFormat="1" ht="33.75" hidden="1" customHeight="1" x14ac:dyDescent="0.25">
      <c r="A13" s="3" t="s">
        <v>631</v>
      </c>
      <c r="B13" s="3" t="s">
        <v>632</v>
      </c>
      <c r="C13" s="3" t="s">
        <v>747</v>
      </c>
      <c r="D13" s="4" t="s">
        <v>748</v>
      </c>
      <c r="E13" s="25" t="s">
        <v>664</v>
      </c>
      <c r="F13" s="5" t="s">
        <v>706</v>
      </c>
      <c r="G13" s="4" t="s">
        <v>838</v>
      </c>
      <c r="H13" s="5" t="s">
        <v>235</v>
      </c>
      <c r="I13" s="5" t="s">
        <v>665</v>
      </c>
      <c r="J13" s="5" t="s">
        <v>666</v>
      </c>
      <c r="K13" s="5" t="s">
        <v>707</v>
      </c>
      <c r="L13" s="5" t="s">
        <v>667</v>
      </c>
      <c r="M13" s="6" t="s">
        <v>868</v>
      </c>
      <c r="N13" s="120" t="s">
        <v>869</v>
      </c>
      <c r="O13" s="28" t="s">
        <v>671</v>
      </c>
      <c r="P13" s="5" t="s">
        <v>33</v>
      </c>
      <c r="Q13" s="29" t="s">
        <v>871</v>
      </c>
      <c r="R13" s="30" t="s">
        <v>71</v>
      </c>
      <c r="S13" s="5" t="s">
        <v>71</v>
      </c>
      <c r="T13" s="29" t="s">
        <v>45</v>
      </c>
      <c r="U13" s="3"/>
      <c r="V13" s="5"/>
      <c r="W13" s="3"/>
    </row>
    <row r="14" spans="1:25" s="7" customFormat="1" ht="33.75" hidden="1" customHeight="1" x14ac:dyDescent="0.25">
      <c r="A14" s="3" t="s">
        <v>631</v>
      </c>
      <c r="B14" s="3" t="s">
        <v>632</v>
      </c>
      <c r="C14" s="3" t="s">
        <v>674</v>
      </c>
      <c r="D14" s="4" t="s">
        <v>71</v>
      </c>
      <c r="E14" s="25" t="s">
        <v>643</v>
      </c>
      <c r="F14" s="5" t="s">
        <v>651</v>
      </c>
      <c r="G14" s="4" t="s">
        <v>838</v>
      </c>
      <c r="H14" s="5" t="s">
        <v>275</v>
      </c>
      <c r="I14" s="5" t="s">
        <v>675</v>
      </c>
      <c r="J14" s="5" t="s">
        <v>676</v>
      </c>
      <c r="K14" s="5" t="s">
        <v>651</v>
      </c>
      <c r="L14" s="6" t="s">
        <v>677</v>
      </c>
      <c r="M14" s="6" t="s">
        <v>882</v>
      </c>
      <c r="N14" s="120" t="s">
        <v>883</v>
      </c>
      <c r="O14" s="28" t="s">
        <v>673</v>
      </c>
      <c r="P14" s="5" t="s">
        <v>672</v>
      </c>
      <c r="Q14" s="29" t="s">
        <v>884</v>
      </c>
      <c r="R14" s="30" t="s">
        <v>71</v>
      </c>
      <c r="S14" s="5" t="s">
        <v>71</v>
      </c>
      <c r="T14" s="29" t="s">
        <v>45</v>
      </c>
      <c r="U14" s="3"/>
      <c r="V14" s="5"/>
      <c r="W14" s="3"/>
    </row>
    <row r="15" spans="1:25" s="7" customFormat="1" ht="33.75" hidden="1" customHeight="1" x14ac:dyDescent="0.25">
      <c r="A15" s="3" t="s">
        <v>631</v>
      </c>
      <c r="B15" s="3" t="s">
        <v>632</v>
      </c>
      <c r="C15" s="3" t="s">
        <v>749</v>
      </c>
      <c r="D15" s="4" t="s">
        <v>748</v>
      </c>
      <c r="E15" s="25" t="s">
        <v>750</v>
      </c>
      <c r="F15" s="5" t="s">
        <v>751</v>
      </c>
      <c r="G15" s="4" t="s">
        <v>838</v>
      </c>
      <c r="H15" s="5" t="s">
        <v>235</v>
      </c>
      <c r="I15" s="5" t="s">
        <v>659</v>
      </c>
      <c r="J15" s="5" t="s">
        <v>879</v>
      </c>
      <c r="K15" s="5" t="s">
        <v>880</v>
      </c>
      <c r="L15" s="6" t="s">
        <v>881</v>
      </c>
      <c r="M15" s="6" t="s">
        <v>868</v>
      </c>
      <c r="N15" s="120" t="s">
        <v>869</v>
      </c>
      <c r="O15" s="28" t="s">
        <v>671</v>
      </c>
      <c r="P15" s="5" t="s">
        <v>33</v>
      </c>
      <c r="Q15" s="29" t="s">
        <v>871</v>
      </c>
      <c r="R15" s="30" t="s">
        <v>71</v>
      </c>
      <c r="S15" s="5" t="s">
        <v>71</v>
      </c>
      <c r="T15" s="29" t="s">
        <v>45</v>
      </c>
      <c r="U15" s="3"/>
      <c r="V15" s="5"/>
      <c r="W15" s="3"/>
    </row>
    <row r="16" spans="1:25" s="7" customFormat="1" ht="33.75" hidden="1" customHeight="1" x14ac:dyDescent="0.25">
      <c r="A16" s="3" t="s">
        <v>631</v>
      </c>
      <c r="B16" s="31" t="s">
        <v>635</v>
      </c>
      <c r="C16" s="31" t="s">
        <v>807</v>
      </c>
      <c r="D16" s="4" t="s">
        <v>71</v>
      </c>
      <c r="E16" s="32" t="s">
        <v>642</v>
      </c>
      <c r="F16" s="5" t="s">
        <v>651</v>
      </c>
      <c r="G16" s="4" t="s">
        <v>838</v>
      </c>
      <c r="H16" s="33" t="s">
        <v>198</v>
      </c>
      <c r="I16" s="33" t="s">
        <v>723</v>
      </c>
      <c r="J16" s="33" t="s">
        <v>724</v>
      </c>
      <c r="K16" s="33" t="s">
        <v>651</v>
      </c>
      <c r="L16" s="5" t="s">
        <v>1016</v>
      </c>
      <c r="M16" s="6" t="s">
        <v>868</v>
      </c>
      <c r="N16" s="120" t="s">
        <v>1017</v>
      </c>
      <c r="O16" s="35" t="s">
        <v>712</v>
      </c>
      <c r="P16" s="33" t="s">
        <v>1018</v>
      </c>
      <c r="Q16" s="29" t="s">
        <v>1019</v>
      </c>
      <c r="R16" s="36" t="s">
        <v>71</v>
      </c>
      <c r="S16" s="33" t="s">
        <v>71</v>
      </c>
      <c r="T16" s="29"/>
      <c r="U16" s="31"/>
      <c r="V16" s="33"/>
      <c r="W16" s="31"/>
    </row>
    <row r="17" spans="1:23" s="7" customFormat="1" ht="33.75" hidden="1" customHeight="1" x14ac:dyDescent="0.25">
      <c r="A17" s="3" t="s">
        <v>631</v>
      </c>
      <c r="B17" s="3" t="s">
        <v>632</v>
      </c>
      <c r="C17" s="3" t="s">
        <v>752</v>
      </c>
      <c r="D17" s="24" t="s">
        <v>753</v>
      </c>
      <c r="E17" s="25" t="s">
        <v>643</v>
      </c>
      <c r="F17" s="5" t="s">
        <v>633</v>
      </c>
      <c r="G17" s="4" t="s">
        <v>838</v>
      </c>
      <c r="H17" s="5" t="s">
        <v>275</v>
      </c>
      <c r="I17" s="5" t="s">
        <v>91</v>
      </c>
      <c r="J17" s="5" t="s">
        <v>885</v>
      </c>
      <c r="K17" s="5" t="s">
        <v>107</v>
      </c>
      <c r="L17" s="6" t="s">
        <v>886</v>
      </c>
      <c r="M17" s="6" t="s">
        <v>858</v>
      </c>
      <c r="N17" s="120" t="s">
        <v>859</v>
      </c>
      <c r="O17" s="28" t="s">
        <v>673</v>
      </c>
      <c r="P17" s="5" t="s">
        <v>33</v>
      </c>
      <c r="Q17" s="29" t="s">
        <v>861</v>
      </c>
      <c r="R17" s="30" t="s">
        <v>689</v>
      </c>
      <c r="S17" s="5" t="s">
        <v>641</v>
      </c>
      <c r="T17" s="29" t="s">
        <v>45</v>
      </c>
      <c r="U17" s="3"/>
      <c r="V17" s="5"/>
      <c r="W17" s="3"/>
    </row>
    <row r="18" spans="1:23" s="7" customFormat="1" ht="33.75" hidden="1" customHeight="1" x14ac:dyDescent="0.25">
      <c r="A18" s="3" t="s">
        <v>631</v>
      </c>
      <c r="B18" s="3" t="s">
        <v>632</v>
      </c>
      <c r="C18" s="3" t="s">
        <v>754</v>
      </c>
      <c r="D18" s="24" t="s">
        <v>753</v>
      </c>
      <c r="E18" s="25" t="s">
        <v>643</v>
      </c>
      <c r="F18" s="5" t="s">
        <v>633</v>
      </c>
      <c r="G18" s="4" t="s">
        <v>838</v>
      </c>
      <c r="H18" s="5" t="s">
        <v>275</v>
      </c>
      <c r="I18" s="5" t="s">
        <v>91</v>
      </c>
      <c r="J18" s="5" t="s">
        <v>885</v>
      </c>
      <c r="K18" s="5" t="s">
        <v>637</v>
      </c>
      <c r="L18" s="6" t="s">
        <v>886</v>
      </c>
      <c r="M18" s="6" t="s">
        <v>858</v>
      </c>
      <c r="N18" s="120" t="s">
        <v>859</v>
      </c>
      <c r="O18" s="28" t="s">
        <v>673</v>
      </c>
      <c r="P18" s="5" t="s">
        <v>71</v>
      </c>
      <c r="Q18" s="29" t="s">
        <v>861</v>
      </c>
      <c r="R18" s="30" t="s">
        <v>689</v>
      </c>
      <c r="S18" s="5" t="s">
        <v>641</v>
      </c>
      <c r="T18" s="29" t="s">
        <v>45</v>
      </c>
      <c r="U18" s="3"/>
      <c r="V18" s="5"/>
      <c r="W18" s="3"/>
    </row>
    <row r="19" spans="1:23" s="7" customFormat="1" ht="33.75" hidden="1" customHeight="1" x14ac:dyDescent="0.25">
      <c r="A19" s="3" t="s">
        <v>631</v>
      </c>
      <c r="B19" s="3" t="s">
        <v>632</v>
      </c>
      <c r="C19" s="3" t="s">
        <v>755</v>
      </c>
      <c r="D19" s="24" t="s">
        <v>753</v>
      </c>
      <c r="E19" s="25" t="s">
        <v>643</v>
      </c>
      <c r="F19" s="5" t="s">
        <v>633</v>
      </c>
      <c r="G19" s="4" t="s">
        <v>838</v>
      </c>
      <c r="H19" s="5" t="s">
        <v>275</v>
      </c>
      <c r="I19" s="5" t="s">
        <v>855</v>
      </c>
      <c r="J19" s="5" t="s">
        <v>856</v>
      </c>
      <c r="K19" s="5" t="s">
        <v>107</v>
      </c>
      <c r="L19" s="6" t="s">
        <v>857</v>
      </c>
      <c r="M19" s="6" t="s">
        <v>858</v>
      </c>
      <c r="N19" s="120" t="s">
        <v>859</v>
      </c>
      <c r="O19" s="28" t="s">
        <v>673</v>
      </c>
      <c r="P19" s="5" t="s">
        <v>33</v>
      </c>
      <c r="Q19" s="29" t="s">
        <v>861</v>
      </c>
      <c r="R19" s="30" t="s">
        <v>689</v>
      </c>
      <c r="S19" s="5" t="s">
        <v>641</v>
      </c>
      <c r="T19" s="29" t="s">
        <v>45</v>
      </c>
      <c r="U19" s="3"/>
      <c r="V19" s="5"/>
      <c r="W19" s="3"/>
    </row>
    <row r="20" spans="1:23" s="7" customFormat="1" ht="33.75" hidden="1" customHeight="1" x14ac:dyDescent="0.25">
      <c r="A20" s="3" t="s">
        <v>631</v>
      </c>
      <c r="B20" s="3" t="s">
        <v>632</v>
      </c>
      <c r="C20" s="3" t="s">
        <v>693</v>
      </c>
      <c r="D20" s="24" t="s">
        <v>694</v>
      </c>
      <c r="E20" s="25" t="s">
        <v>643</v>
      </c>
      <c r="F20" s="5" t="s">
        <v>633</v>
      </c>
      <c r="G20" s="4" t="s">
        <v>838</v>
      </c>
      <c r="H20" s="5" t="s">
        <v>275</v>
      </c>
      <c r="I20" s="5" t="s">
        <v>681</v>
      </c>
      <c r="J20" s="5" t="s">
        <v>682</v>
      </c>
      <c r="K20" s="5" t="s">
        <v>107</v>
      </c>
      <c r="L20" s="6" t="s">
        <v>683</v>
      </c>
      <c r="M20" s="6" t="s">
        <v>876</v>
      </c>
      <c r="N20" s="120" t="s">
        <v>877</v>
      </c>
      <c r="O20" s="28" t="s">
        <v>673</v>
      </c>
      <c r="P20" s="5" t="s">
        <v>33</v>
      </c>
      <c r="Q20" s="29" t="s">
        <v>878</v>
      </c>
      <c r="R20" s="30" t="s">
        <v>689</v>
      </c>
      <c r="S20" s="5" t="s">
        <v>641</v>
      </c>
      <c r="T20" s="29" t="s">
        <v>45</v>
      </c>
      <c r="U20" s="3"/>
      <c r="V20" s="5"/>
      <c r="W20" s="3"/>
    </row>
    <row r="21" spans="1:23" s="7" customFormat="1" ht="33.75" hidden="1" customHeight="1" x14ac:dyDescent="0.25">
      <c r="A21" s="3" t="s">
        <v>631</v>
      </c>
      <c r="B21" s="3" t="s">
        <v>632</v>
      </c>
      <c r="C21" s="3" t="s">
        <v>703</v>
      </c>
      <c r="D21" s="24" t="s">
        <v>694</v>
      </c>
      <c r="E21" s="25" t="s">
        <v>643</v>
      </c>
      <c r="F21" s="5" t="s">
        <v>633</v>
      </c>
      <c r="G21" s="4" t="s">
        <v>838</v>
      </c>
      <c r="H21" s="5" t="s">
        <v>275</v>
      </c>
      <c r="I21" s="5" t="s">
        <v>93</v>
      </c>
      <c r="J21" s="5" t="s">
        <v>702</v>
      </c>
      <c r="K21" s="5" t="s">
        <v>107</v>
      </c>
      <c r="L21" s="6" t="s">
        <v>704</v>
      </c>
      <c r="M21" s="6" t="s">
        <v>876</v>
      </c>
      <c r="N21" s="120" t="s">
        <v>877</v>
      </c>
      <c r="O21" s="28" t="s">
        <v>673</v>
      </c>
      <c r="P21" s="5" t="s">
        <v>33</v>
      </c>
      <c r="Q21" s="29" t="s">
        <v>878</v>
      </c>
      <c r="R21" s="30" t="s">
        <v>689</v>
      </c>
      <c r="S21" s="5" t="s">
        <v>641</v>
      </c>
      <c r="T21" s="29" t="s">
        <v>45</v>
      </c>
      <c r="U21" s="3"/>
      <c r="V21" s="5"/>
      <c r="W21" s="3"/>
    </row>
    <row r="22" spans="1:23" s="7" customFormat="1" ht="33.75" hidden="1" customHeight="1" x14ac:dyDescent="0.25">
      <c r="A22" s="3" t="s">
        <v>631</v>
      </c>
      <c r="B22" s="3" t="s">
        <v>632</v>
      </c>
      <c r="C22" s="3" t="s">
        <v>705</v>
      </c>
      <c r="D22" s="24" t="s">
        <v>694</v>
      </c>
      <c r="E22" s="25" t="s">
        <v>643</v>
      </c>
      <c r="F22" s="5" t="s">
        <v>633</v>
      </c>
      <c r="G22" s="4" t="s">
        <v>838</v>
      </c>
      <c r="H22" s="5" t="s">
        <v>275</v>
      </c>
      <c r="I22" s="5" t="s">
        <v>93</v>
      </c>
      <c r="J22" s="5" t="s">
        <v>702</v>
      </c>
      <c r="K22" s="5" t="s">
        <v>637</v>
      </c>
      <c r="L22" s="6" t="s">
        <v>704</v>
      </c>
      <c r="M22" s="6" t="s">
        <v>876</v>
      </c>
      <c r="N22" s="120" t="s">
        <v>877</v>
      </c>
      <c r="O22" s="28" t="s">
        <v>673</v>
      </c>
      <c r="P22" s="5" t="s">
        <v>71</v>
      </c>
      <c r="Q22" s="29" t="s">
        <v>878</v>
      </c>
      <c r="R22" s="30" t="s">
        <v>689</v>
      </c>
      <c r="S22" s="5" t="s">
        <v>641</v>
      </c>
      <c r="T22" s="29" t="s">
        <v>45</v>
      </c>
      <c r="U22" s="3"/>
      <c r="V22" s="5"/>
      <c r="W22" s="3"/>
    </row>
    <row r="23" spans="1:23" s="7" customFormat="1" ht="33.75" hidden="1" customHeight="1" x14ac:dyDescent="0.25">
      <c r="A23" s="3" t="s">
        <v>631</v>
      </c>
      <c r="B23" s="3" t="s">
        <v>632</v>
      </c>
      <c r="C23" s="3" t="s">
        <v>691</v>
      </c>
      <c r="D23" s="24" t="s">
        <v>692</v>
      </c>
      <c r="E23" s="25" t="s">
        <v>643</v>
      </c>
      <c r="F23" s="5" t="s">
        <v>633</v>
      </c>
      <c r="G23" s="4" t="s">
        <v>838</v>
      </c>
      <c r="H23" s="5" t="s">
        <v>275</v>
      </c>
      <c r="I23" s="5" t="s">
        <v>675</v>
      </c>
      <c r="J23" s="5" t="s">
        <v>676</v>
      </c>
      <c r="K23" s="5" t="s">
        <v>107</v>
      </c>
      <c r="L23" s="6" t="s">
        <v>677</v>
      </c>
      <c r="M23" s="6" t="s">
        <v>882</v>
      </c>
      <c r="N23" s="120" t="s">
        <v>883</v>
      </c>
      <c r="O23" s="28" t="s">
        <v>673</v>
      </c>
      <c r="P23" s="5" t="s">
        <v>33</v>
      </c>
      <c r="Q23" s="29" t="s">
        <v>884</v>
      </c>
      <c r="R23" s="30" t="s">
        <v>689</v>
      </c>
      <c r="S23" s="5" t="s">
        <v>641</v>
      </c>
      <c r="T23" s="29" t="s">
        <v>45</v>
      </c>
      <c r="U23" s="3"/>
      <c r="V23" s="5"/>
      <c r="W23" s="3"/>
    </row>
    <row r="24" spans="1:23" s="7" customFormat="1" ht="33.75" customHeight="1" x14ac:dyDescent="0.25">
      <c r="A24" s="3" t="s">
        <v>631</v>
      </c>
      <c r="B24" s="3" t="s">
        <v>632</v>
      </c>
      <c r="C24" s="3" t="s">
        <v>695</v>
      </c>
      <c r="D24" s="24" t="s">
        <v>692</v>
      </c>
      <c r="E24" s="25" t="s">
        <v>644</v>
      </c>
      <c r="F24" s="5" t="s">
        <v>633</v>
      </c>
      <c r="G24" s="4" t="s">
        <v>662</v>
      </c>
      <c r="H24" s="5" t="s">
        <v>275</v>
      </c>
      <c r="I24" s="5" t="s">
        <v>94</v>
      </c>
      <c r="J24" s="5" t="s">
        <v>696</v>
      </c>
      <c r="K24" s="5" t="s">
        <v>107</v>
      </c>
      <c r="L24" s="6" t="s">
        <v>697</v>
      </c>
      <c r="M24" s="6" t="s">
        <v>843</v>
      </c>
      <c r="N24" s="27" t="s">
        <v>678</v>
      </c>
      <c r="O24" s="28" t="s">
        <v>673</v>
      </c>
      <c r="P24" s="5" t="s">
        <v>33</v>
      </c>
      <c r="Q24" s="29" t="s">
        <v>679</v>
      </c>
      <c r="R24" s="30" t="s">
        <v>689</v>
      </c>
      <c r="S24" s="5" t="s">
        <v>641</v>
      </c>
      <c r="T24" s="29" t="s">
        <v>45</v>
      </c>
      <c r="U24" s="3"/>
      <c r="V24" s="5"/>
      <c r="W24" s="3"/>
    </row>
    <row r="25" spans="1:23" s="7" customFormat="1" ht="33.75" hidden="1" customHeight="1" x14ac:dyDescent="0.25">
      <c r="A25" s="3" t="s">
        <v>631</v>
      </c>
      <c r="B25" s="3" t="s">
        <v>632</v>
      </c>
      <c r="C25" s="3" t="s">
        <v>699</v>
      </c>
      <c r="D25" s="24" t="s">
        <v>692</v>
      </c>
      <c r="E25" s="25" t="s">
        <v>643</v>
      </c>
      <c r="F25" s="5" t="s">
        <v>633</v>
      </c>
      <c r="G25" s="4" t="s">
        <v>662</v>
      </c>
      <c r="H25" s="5" t="s">
        <v>275</v>
      </c>
      <c r="I25" s="5" t="s">
        <v>94</v>
      </c>
      <c r="J25" s="5" t="s">
        <v>696</v>
      </c>
      <c r="K25" s="5" t="s">
        <v>107</v>
      </c>
      <c r="L25" s="6" t="s">
        <v>700</v>
      </c>
      <c r="M25" s="6" t="s">
        <v>882</v>
      </c>
      <c r="N25" s="27" t="s">
        <v>883</v>
      </c>
      <c r="O25" s="28" t="s">
        <v>673</v>
      </c>
      <c r="P25" s="5" t="s">
        <v>33</v>
      </c>
      <c r="Q25" s="29" t="s">
        <v>884</v>
      </c>
      <c r="R25" s="30" t="s">
        <v>689</v>
      </c>
      <c r="S25" s="5" t="s">
        <v>641</v>
      </c>
      <c r="T25" s="29" t="s">
        <v>45</v>
      </c>
      <c r="U25" s="3"/>
      <c r="V25" s="5"/>
      <c r="W25" s="3"/>
    </row>
    <row r="26" spans="1:23" s="7" customFormat="1" ht="33.75" customHeight="1" x14ac:dyDescent="0.25">
      <c r="A26" s="3" t="s">
        <v>631</v>
      </c>
      <c r="B26" s="3" t="s">
        <v>632</v>
      </c>
      <c r="C26" s="3" t="s">
        <v>698</v>
      </c>
      <c r="D26" s="24" t="s">
        <v>692</v>
      </c>
      <c r="E26" s="25" t="s">
        <v>644</v>
      </c>
      <c r="F26" s="5" t="s">
        <v>633</v>
      </c>
      <c r="G26" s="4" t="s">
        <v>662</v>
      </c>
      <c r="H26" s="5" t="s">
        <v>275</v>
      </c>
      <c r="I26" s="5" t="s">
        <v>94</v>
      </c>
      <c r="J26" s="5" t="s">
        <v>696</v>
      </c>
      <c r="K26" s="5" t="s">
        <v>637</v>
      </c>
      <c r="L26" s="6" t="s">
        <v>697</v>
      </c>
      <c r="M26" s="6" t="s">
        <v>843</v>
      </c>
      <c r="N26" s="27" t="s">
        <v>678</v>
      </c>
      <c r="O26" s="28" t="s">
        <v>673</v>
      </c>
      <c r="P26" s="5" t="s">
        <v>71</v>
      </c>
      <c r="Q26" s="29" t="s">
        <v>679</v>
      </c>
      <c r="R26" s="30" t="s">
        <v>689</v>
      </c>
      <c r="S26" s="5" t="s">
        <v>641</v>
      </c>
      <c r="T26" s="29" t="s">
        <v>45</v>
      </c>
      <c r="U26" s="3"/>
      <c r="V26" s="5"/>
      <c r="W26" s="3"/>
    </row>
    <row r="27" spans="1:23" s="7" customFormat="1" ht="33.75" hidden="1" customHeight="1" x14ac:dyDescent="0.25">
      <c r="A27" s="3" t="s">
        <v>631</v>
      </c>
      <c r="B27" s="3" t="s">
        <v>632</v>
      </c>
      <c r="C27" s="3" t="s">
        <v>701</v>
      </c>
      <c r="D27" s="24" t="s">
        <v>692</v>
      </c>
      <c r="E27" s="25" t="s">
        <v>643</v>
      </c>
      <c r="F27" s="5" t="s">
        <v>633</v>
      </c>
      <c r="G27" s="4" t="s">
        <v>838</v>
      </c>
      <c r="H27" s="5" t="s">
        <v>275</v>
      </c>
      <c r="I27" s="5" t="s">
        <v>94</v>
      </c>
      <c r="J27" s="5" t="s">
        <v>696</v>
      </c>
      <c r="K27" s="5" t="s">
        <v>637</v>
      </c>
      <c r="L27" s="6" t="s">
        <v>700</v>
      </c>
      <c r="M27" s="6" t="s">
        <v>882</v>
      </c>
      <c r="N27" s="120" t="s">
        <v>883</v>
      </c>
      <c r="O27" s="28" t="s">
        <v>673</v>
      </c>
      <c r="P27" s="5" t="s">
        <v>71</v>
      </c>
      <c r="Q27" s="29" t="s">
        <v>884</v>
      </c>
      <c r="R27" s="30" t="s">
        <v>689</v>
      </c>
      <c r="S27" s="5" t="s">
        <v>641</v>
      </c>
      <c r="T27" s="29" t="s">
        <v>45</v>
      </c>
      <c r="U27" s="3"/>
      <c r="V27" s="5"/>
      <c r="W27" s="3"/>
    </row>
    <row r="28" spans="1:23" s="7" customFormat="1" ht="33.75" customHeight="1" x14ac:dyDescent="0.25">
      <c r="A28" s="3" t="s">
        <v>631</v>
      </c>
      <c r="B28" s="3" t="s">
        <v>632</v>
      </c>
      <c r="C28" s="3" t="s">
        <v>756</v>
      </c>
      <c r="D28" s="24" t="s">
        <v>757</v>
      </c>
      <c r="E28" s="25" t="s">
        <v>644</v>
      </c>
      <c r="F28" s="5" t="s">
        <v>633</v>
      </c>
      <c r="G28" s="4" t="s">
        <v>838</v>
      </c>
      <c r="H28" s="5" t="s">
        <v>275</v>
      </c>
      <c r="I28" s="5" t="s">
        <v>92</v>
      </c>
      <c r="J28" s="5" t="s">
        <v>887</v>
      </c>
      <c r="K28" s="5" t="s">
        <v>107</v>
      </c>
      <c r="L28" s="6" t="s">
        <v>888</v>
      </c>
      <c r="M28" s="6" t="s">
        <v>843</v>
      </c>
      <c r="N28" s="120" t="s">
        <v>889</v>
      </c>
      <c r="O28" s="28" t="s">
        <v>673</v>
      </c>
      <c r="P28" s="5" t="s">
        <v>33</v>
      </c>
      <c r="Q28" s="29" t="s">
        <v>890</v>
      </c>
      <c r="R28" s="30" t="s">
        <v>689</v>
      </c>
      <c r="S28" s="5" t="s">
        <v>641</v>
      </c>
      <c r="T28" s="29" t="s">
        <v>45</v>
      </c>
      <c r="U28" s="3"/>
      <c r="V28" s="5"/>
      <c r="W28" s="3"/>
    </row>
    <row r="29" spans="1:23" s="7" customFormat="1" ht="33.75" hidden="1" customHeight="1" x14ac:dyDescent="0.25">
      <c r="A29" s="3" t="s">
        <v>631</v>
      </c>
      <c r="B29" s="3" t="s">
        <v>632</v>
      </c>
      <c r="C29" s="3" t="s">
        <v>758</v>
      </c>
      <c r="D29" s="24" t="s">
        <v>757</v>
      </c>
      <c r="E29" s="25" t="s">
        <v>643</v>
      </c>
      <c r="F29" s="5" t="s">
        <v>633</v>
      </c>
      <c r="G29" s="4" t="s">
        <v>838</v>
      </c>
      <c r="H29" s="5" t="s">
        <v>275</v>
      </c>
      <c r="I29" s="5" t="s">
        <v>862</v>
      </c>
      <c r="J29" s="5" t="s">
        <v>863</v>
      </c>
      <c r="K29" s="5" t="s">
        <v>107</v>
      </c>
      <c r="L29" s="6" t="s">
        <v>864</v>
      </c>
      <c r="M29" s="6" t="s">
        <v>865</v>
      </c>
      <c r="N29" s="120" t="s">
        <v>866</v>
      </c>
      <c r="O29" s="28" t="s">
        <v>673</v>
      </c>
      <c r="P29" s="5" t="s">
        <v>33</v>
      </c>
      <c r="Q29" s="29" t="s">
        <v>867</v>
      </c>
      <c r="R29" s="30" t="s">
        <v>689</v>
      </c>
      <c r="S29" s="5" t="s">
        <v>641</v>
      </c>
      <c r="T29" s="29" t="s">
        <v>45</v>
      </c>
      <c r="U29" s="3"/>
      <c r="V29" s="5"/>
      <c r="W29" s="3"/>
    </row>
    <row r="30" spans="1:23" s="7" customFormat="1" ht="33.75" customHeight="1" x14ac:dyDescent="0.25">
      <c r="A30" s="3" t="s">
        <v>631</v>
      </c>
      <c r="B30" s="3" t="s">
        <v>632</v>
      </c>
      <c r="C30" s="3" t="s">
        <v>759</v>
      </c>
      <c r="D30" s="24" t="s">
        <v>757</v>
      </c>
      <c r="E30" s="25" t="s">
        <v>644</v>
      </c>
      <c r="F30" s="5" t="s">
        <v>633</v>
      </c>
      <c r="G30" s="4" t="s">
        <v>838</v>
      </c>
      <c r="H30" s="5" t="s">
        <v>275</v>
      </c>
      <c r="I30" s="5" t="s">
        <v>92</v>
      </c>
      <c r="J30" s="5" t="s">
        <v>887</v>
      </c>
      <c r="K30" s="5" t="s">
        <v>637</v>
      </c>
      <c r="L30" s="6" t="s">
        <v>888</v>
      </c>
      <c r="M30" s="6" t="s">
        <v>843</v>
      </c>
      <c r="N30" s="120" t="s">
        <v>889</v>
      </c>
      <c r="O30" s="28" t="s">
        <v>673</v>
      </c>
      <c r="P30" s="5" t="s">
        <v>71</v>
      </c>
      <c r="Q30" s="29" t="s">
        <v>890</v>
      </c>
      <c r="R30" s="30" t="s">
        <v>689</v>
      </c>
      <c r="S30" s="5" t="s">
        <v>641</v>
      </c>
      <c r="T30" s="29" t="s">
        <v>45</v>
      </c>
      <c r="U30" s="3"/>
      <c r="V30" s="5"/>
      <c r="W30" s="3"/>
    </row>
    <row r="31" spans="1:23" s="7" customFormat="1" ht="33.75" hidden="1" customHeight="1" x14ac:dyDescent="0.25">
      <c r="A31" s="3" t="s">
        <v>631</v>
      </c>
      <c r="B31" s="3" t="s">
        <v>632</v>
      </c>
      <c r="C31" s="3" t="s">
        <v>760</v>
      </c>
      <c r="D31" s="24" t="s">
        <v>757</v>
      </c>
      <c r="E31" s="25" t="s">
        <v>643</v>
      </c>
      <c r="F31" s="5" t="s">
        <v>633</v>
      </c>
      <c r="G31" s="4" t="s">
        <v>662</v>
      </c>
      <c r="H31" s="5" t="s">
        <v>275</v>
      </c>
      <c r="I31" s="5" t="s">
        <v>92</v>
      </c>
      <c r="J31" s="5" t="s">
        <v>887</v>
      </c>
      <c r="K31" s="5" t="s">
        <v>107</v>
      </c>
      <c r="L31" s="6" t="s">
        <v>891</v>
      </c>
      <c r="M31" s="6" t="s">
        <v>865</v>
      </c>
      <c r="N31" s="27" t="s">
        <v>866</v>
      </c>
      <c r="O31" s="28" t="s">
        <v>673</v>
      </c>
      <c r="P31" s="5" t="s">
        <v>33</v>
      </c>
      <c r="Q31" s="29" t="s">
        <v>867</v>
      </c>
      <c r="R31" s="30" t="s">
        <v>689</v>
      </c>
      <c r="S31" s="5" t="s">
        <v>641</v>
      </c>
      <c r="T31" s="29" t="s">
        <v>45</v>
      </c>
      <c r="U31" s="3"/>
      <c r="V31" s="5"/>
      <c r="W31" s="3"/>
    </row>
    <row r="32" spans="1:23" s="7" customFormat="1" ht="33.75" hidden="1" customHeight="1" x14ac:dyDescent="0.25">
      <c r="A32" s="3" t="s">
        <v>631</v>
      </c>
      <c r="B32" s="3" t="s">
        <v>632</v>
      </c>
      <c r="C32" s="3" t="s">
        <v>761</v>
      </c>
      <c r="D32" s="24" t="s">
        <v>757</v>
      </c>
      <c r="E32" s="25" t="s">
        <v>643</v>
      </c>
      <c r="F32" s="5" t="s">
        <v>633</v>
      </c>
      <c r="G32" s="4" t="s">
        <v>662</v>
      </c>
      <c r="H32" s="5" t="s">
        <v>275</v>
      </c>
      <c r="I32" s="5" t="s">
        <v>92</v>
      </c>
      <c r="J32" s="5" t="s">
        <v>887</v>
      </c>
      <c r="K32" s="5" t="s">
        <v>637</v>
      </c>
      <c r="L32" s="6" t="s">
        <v>891</v>
      </c>
      <c r="M32" s="6" t="s">
        <v>865</v>
      </c>
      <c r="N32" s="27" t="s">
        <v>866</v>
      </c>
      <c r="O32" s="28" t="s">
        <v>673</v>
      </c>
      <c r="P32" s="5" t="s">
        <v>71</v>
      </c>
      <c r="Q32" s="29" t="s">
        <v>867</v>
      </c>
      <c r="R32" s="30" t="s">
        <v>689</v>
      </c>
      <c r="S32" s="5" t="s">
        <v>641</v>
      </c>
      <c r="T32" s="29" t="s">
        <v>45</v>
      </c>
      <c r="U32" s="3"/>
      <c r="V32" s="5"/>
      <c r="W32" s="3"/>
    </row>
    <row r="33" spans="1:63" s="7" customFormat="1" ht="33.75" customHeight="1" x14ac:dyDescent="0.25">
      <c r="A33" s="3" t="s">
        <v>631</v>
      </c>
      <c r="B33" s="3" t="s">
        <v>632</v>
      </c>
      <c r="C33" s="3" t="s">
        <v>762</v>
      </c>
      <c r="D33" s="24" t="s">
        <v>727</v>
      </c>
      <c r="E33" s="25" t="s">
        <v>763</v>
      </c>
      <c r="F33" s="26" t="s">
        <v>764</v>
      </c>
      <c r="G33" s="4" t="s">
        <v>662</v>
      </c>
      <c r="H33" s="5" t="s">
        <v>839</v>
      </c>
      <c r="I33" s="5" t="s">
        <v>892</v>
      </c>
      <c r="J33" s="5" t="s">
        <v>893</v>
      </c>
      <c r="K33" s="5" t="s">
        <v>894</v>
      </c>
      <c r="L33" s="6" t="s">
        <v>895</v>
      </c>
      <c r="M33" s="6" t="s">
        <v>843</v>
      </c>
      <c r="N33" s="27" t="s">
        <v>852</v>
      </c>
      <c r="O33" s="28" t="s">
        <v>687</v>
      </c>
      <c r="P33" s="5" t="s">
        <v>33</v>
      </c>
      <c r="Q33" s="29" t="s">
        <v>896</v>
      </c>
      <c r="R33" s="30" t="s">
        <v>71</v>
      </c>
      <c r="S33" s="5" t="s">
        <v>71</v>
      </c>
      <c r="T33" s="29" t="s">
        <v>45</v>
      </c>
      <c r="U33" s="3"/>
      <c r="V33" s="5"/>
      <c r="W33" s="3"/>
    </row>
    <row r="34" spans="1:63" s="7" customFormat="1" ht="33.75" customHeight="1" x14ac:dyDescent="0.25">
      <c r="A34" s="3" t="s">
        <v>631</v>
      </c>
      <c r="B34" s="3" t="s">
        <v>632</v>
      </c>
      <c r="C34" s="3" t="s">
        <v>765</v>
      </c>
      <c r="D34" s="24" t="s">
        <v>727</v>
      </c>
      <c r="E34" s="25" t="s">
        <v>763</v>
      </c>
      <c r="F34" s="26" t="s">
        <v>764</v>
      </c>
      <c r="G34" s="4" t="s">
        <v>662</v>
      </c>
      <c r="H34" s="5" t="s">
        <v>839</v>
      </c>
      <c r="I34" s="5" t="s">
        <v>897</v>
      </c>
      <c r="J34" s="5" t="s">
        <v>898</v>
      </c>
      <c r="K34" s="5" t="s">
        <v>894</v>
      </c>
      <c r="L34" s="6" t="s">
        <v>899</v>
      </c>
      <c r="M34" s="6" t="s">
        <v>843</v>
      </c>
      <c r="N34" s="27" t="s">
        <v>852</v>
      </c>
      <c r="O34" s="28" t="s">
        <v>687</v>
      </c>
      <c r="P34" s="5" t="s">
        <v>33</v>
      </c>
      <c r="Q34" s="29" t="s">
        <v>896</v>
      </c>
      <c r="R34" s="30" t="s">
        <v>71</v>
      </c>
      <c r="S34" s="5" t="s">
        <v>71</v>
      </c>
      <c r="T34" s="29" t="s">
        <v>45</v>
      </c>
      <c r="U34" s="3"/>
      <c r="V34" s="5"/>
      <c r="W34" s="3"/>
    </row>
    <row r="35" spans="1:63" s="7" customFormat="1" ht="33.75" customHeight="1" x14ac:dyDescent="0.25">
      <c r="A35" s="3" t="s">
        <v>631</v>
      </c>
      <c r="B35" s="3" t="s">
        <v>632</v>
      </c>
      <c r="C35" s="3" t="s">
        <v>766</v>
      </c>
      <c r="D35" s="24" t="s">
        <v>727</v>
      </c>
      <c r="E35" s="25" t="s">
        <v>763</v>
      </c>
      <c r="F35" s="26" t="s">
        <v>764</v>
      </c>
      <c r="G35" s="4" t="s">
        <v>662</v>
      </c>
      <c r="H35" s="5" t="s">
        <v>839</v>
      </c>
      <c r="I35" s="5" t="s">
        <v>900</v>
      </c>
      <c r="J35" s="5" t="s">
        <v>901</v>
      </c>
      <c r="K35" s="5" t="s">
        <v>894</v>
      </c>
      <c r="L35" s="6" t="s">
        <v>902</v>
      </c>
      <c r="M35" s="6" t="s">
        <v>843</v>
      </c>
      <c r="N35" s="27" t="s">
        <v>852</v>
      </c>
      <c r="O35" s="28" t="s">
        <v>687</v>
      </c>
      <c r="P35" s="5" t="s">
        <v>33</v>
      </c>
      <c r="Q35" s="29" t="s">
        <v>896</v>
      </c>
      <c r="R35" s="30" t="s">
        <v>71</v>
      </c>
      <c r="S35" s="5" t="s">
        <v>71</v>
      </c>
      <c r="T35" s="29" t="s">
        <v>45</v>
      </c>
      <c r="U35" s="3"/>
      <c r="V35" s="5"/>
      <c r="W35" s="3"/>
    </row>
    <row r="36" spans="1:63" s="7" customFormat="1" ht="33.75" customHeight="1" x14ac:dyDescent="0.25">
      <c r="A36" s="3" t="s">
        <v>631</v>
      </c>
      <c r="B36" s="3" t="s">
        <v>632</v>
      </c>
      <c r="C36" s="3" t="s">
        <v>767</v>
      </c>
      <c r="D36" s="24" t="s">
        <v>656</v>
      </c>
      <c r="E36" s="25" t="s">
        <v>763</v>
      </c>
      <c r="F36" s="26" t="s">
        <v>764</v>
      </c>
      <c r="G36" s="4" t="s">
        <v>662</v>
      </c>
      <c r="H36" s="5" t="s">
        <v>839</v>
      </c>
      <c r="I36" s="5" t="s">
        <v>903</v>
      </c>
      <c r="J36" s="5" t="s">
        <v>904</v>
      </c>
      <c r="K36" s="5" t="s">
        <v>894</v>
      </c>
      <c r="L36" s="6" t="s">
        <v>905</v>
      </c>
      <c r="M36" s="6" t="s">
        <v>843</v>
      </c>
      <c r="N36" s="27" t="s">
        <v>852</v>
      </c>
      <c r="O36" s="28" t="s">
        <v>687</v>
      </c>
      <c r="P36" s="5" t="s">
        <v>33</v>
      </c>
      <c r="Q36" s="29" t="s">
        <v>896</v>
      </c>
      <c r="R36" s="30" t="s">
        <v>71</v>
      </c>
      <c r="S36" s="5" t="s">
        <v>71</v>
      </c>
      <c r="T36" s="29" t="s">
        <v>45</v>
      </c>
      <c r="U36" s="3"/>
      <c r="V36" s="5"/>
      <c r="W36" s="3"/>
    </row>
    <row r="37" spans="1:63" ht="30.75" customHeight="1" x14ac:dyDescent="0.25">
      <c r="A37" s="3" t="s">
        <v>631</v>
      </c>
      <c r="B37" s="3" t="s">
        <v>632</v>
      </c>
      <c r="C37" s="3" t="s">
        <v>768</v>
      </c>
      <c r="D37" s="3" t="s">
        <v>656</v>
      </c>
      <c r="E37" s="3" t="s">
        <v>763</v>
      </c>
      <c r="F37" s="3" t="s">
        <v>764</v>
      </c>
      <c r="G37" s="4" t="s">
        <v>662</v>
      </c>
      <c r="H37" s="3" t="s">
        <v>839</v>
      </c>
      <c r="I37" s="3" t="s">
        <v>906</v>
      </c>
      <c r="J37" s="3" t="s">
        <v>907</v>
      </c>
      <c r="K37" s="3" t="s">
        <v>894</v>
      </c>
      <c r="L37" s="3" t="s">
        <v>908</v>
      </c>
      <c r="M37" s="6" t="s">
        <v>843</v>
      </c>
      <c r="N37" s="6" t="s">
        <v>852</v>
      </c>
      <c r="O37" s="3" t="s">
        <v>687</v>
      </c>
      <c r="P37" s="3" t="s">
        <v>33</v>
      </c>
      <c r="Q37" s="3" t="s">
        <v>896</v>
      </c>
      <c r="R37" s="3" t="s">
        <v>71</v>
      </c>
      <c r="S37" s="3" t="s">
        <v>71</v>
      </c>
      <c r="T37" s="29" t="s">
        <v>45</v>
      </c>
      <c r="U37" s="3"/>
      <c r="V37" s="3"/>
      <c r="W37" s="3"/>
      <c r="AA37" s="128"/>
      <c r="AP37" s="128"/>
      <c r="BK37" s="128"/>
    </row>
    <row r="38" spans="1:63" ht="30.75" customHeight="1" x14ac:dyDescent="0.25">
      <c r="A38" s="3" t="s">
        <v>631</v>
      </c>
      <c r="B38" s="3" t="s">
        <v>632</v>
      </c>
      <c r="C38" s="3" t="s">
        <v>769</v>
      </c>
      <c r="D38" s="24" t="s">
        <v>656</v>
      </c>
      <c r="E38" s="25" t="s">
        <v>763</v>
      </c>
      <c r="F38" s="26" t="s">
        <v>764</v>
      </c>
      <c r="G38" s="4" t="s">
        <v>662</v>
      </c>
      <c r="H38" s="5" t="s">
        <v>839</v>
      </c>
      <c r="I38" s="5" t="s">
        <v>909</v>
      </c>
      <c r="J38" s="5" t="s">
        <v>910</v>
      </c>
      <c r="K38" s="5" t="s">
        <v>894</v>
      </c>
      <c r="L38" s="5" t="s">
        <v>911</v>
      </c>
      <c r="M38" s="6" t="s">
        <v>843</v>
      </c>
      <c r="N38" s="120" t="s">
        <v>852</v>
      </c>
      <c r="O38" s="27" t="s">
        <v>687</v>
      </c>
      <c r="P38" s="28" t="s">
        <v>33</v>
      </c>
      <c r="Q38" s="29" t="s">
        <v>896</v>
      </c>
      <c r="R38" s="30" t="s">
        <v>71</v>
      </c>
      <c r="S38" s="5" t="s">
        <v>71</v>
      </c>
      <c r="T38" s="29" t="s">
        <v>45</v>
      </c>
      <c r="U38" s="3"/>
      <c r="V38" s="5"/>
      <c r="W38" s="3"/>
    </row>
    <row r="39" spans="1:63" ht="30.75" customHeight="1" x14ac:dyDescent="0.25">
      <c r="A39" s="3" t="s">
        <v>631</v>
      </c>
      <c r="B39" s="3" t="s">
        <v>632</v>
      </c>
      <c r="C39" s="3" t="s">
        <v>770</v>
      </c>
      <c r="D39" s="24" t="s">
        <v>656</v>
      </c>
      <c r="E39" s="25" t="s">
        <v>763</v>
      </c>
      <c r="F39" s="26" t="s">
        <v>764</v>
      </c>
      <c r="G39" s="4" t="s">
        <v>662</v>
      </c>
      <c r="H39" s="5" t="s">
        <v>839</v>
      </c>
      <c r="I39" s="5" t="s">
        <v>912</v>
      </c>
      <c r="J39" s="5" t="s">
        <v>913</v>
      </c>
      <c r="K39" s="5" t="s">
        <v>894</v>
      </c>
      <c r="L39" s="130" t="s">
        <v>914</v>
      </c>
      <c r="M39" s="6" t="s">
        <v>843</v>
      </c>
      <c r="N39" s="120" t="s">
        <v>852</v>
      </c>
      <c r="O39" s="27" t="s">
        <v>687</v>
      </c>
      <c r="P39" s="28" t="s">
        <v>33</v>
      </c>
      <c r="Q39" s="29" t="s">
        <v>896</v>
      </c>
      <c r="R39" s="30" t="s">
        <v>71</v>
      </c>
      <c r="S39" s="5" t="s">
        <v>71</v>
      </c>
      <c r="T39" s="29" t="s">
        <v>45</v>
      </c>
      <c r="U39" s="3"/>
      <c r="V39" s="5"/>
      <c r="W39" s="3"/>
      <c r="AA39" s="128"/>
    </row>
    <row r="40" spans="1:63" ht="30.75" customHeight="1" x14ac:dyDescent="0.25">
      <c r="A40" s="3" t="s">
        <v>631</v>
      </c>
      <c r="B40" s="3" t="s">
        <v>632</v>
      </c>
      <c r="C40" s="3" t="s">
        <v>771</v>
      </c>
      <c r="D40" s="24" t="s">
        <v>656</v>
      </c>
      <c r="E40" s="25" t="s">
        <v>763</v>
      </c>
      <c r="F40" s="26" t="s">
        <v>764</v>
      </c>
      <c r="G40" s="4" t="s">
        <v>662</v>
      </c>
      <c r="H40" s="5" t="s">
        <v>839</v>
      </c>
      <c r="I40" s="5" t="s">
        <v>915</v>
      </c>
      <c r="J40" s="5" t="s">
        <v>916</v>
      </c>
      <c r="K40" s="5" t="s">
        <v>894</v>
      </c>
      <c r="L40" s="5" t="s">
        <v>917</v>
      </c>
      <c r="M40" s="6" t="s">
        <v>843</v>
      </c>
      <c r="N40" s="120" t="s">
        <v>852</v>
      </c>
      <c r="O40" s="27" t="s">
        <v>687</v>
      </c>
      <c r="P40" s="28" t="s">
        <v>33</v>
      </c>
      <c r="Q40" s="29" t="s">
        <v>896</v>
      </c>
      <c r="R40" s="30" t="s">
        <v>71</v>
      </c>
      <c r="S40" s="5" t="s">
        <v>71</v>
      </c>
      <c r="T40" s="29" t="s">
        <v>45</v>
      </c>
      <c r="U40" s="3"/>
      <c r="V40" s="5"/>
      <c r="W40" s="3"/>
    </row>
    <row r="41" spans="1:63" ht="30.75" customHeight="1" x14ac:dyDescent="0.25">
      <c r="A41" s="3" t="s">
        <v>631</v>
      </c>
      <c r="B41" s="3" t="s">
        <v>632</v>
      </c>
      <c r="C41" s="3" t="s">
        <v>772</v>
      </c>
      <c r="D41" s="24" t="s">
        <v>656</v>
      </c>
      <c r="E41" s="25" t="s">
        <v>763</v>
      </c>
      <c r="F41" s="26" t="s">
        <v>764</v>
      </c>
      <c r="G41" s="4" t="s">
        <v>662</v>
      </c>
      <c r="H41" s="5" t="s">
        <v>839</v>
      </c>
      <c r="I41" s="5" t="s">
        <v>918</v>
      </c>
      <c r="J41" s="5" t="s">
        <v>919</v>
      </c>
      <c r="K41" s="5" t="s">
        <v>894</v>
      </c>
      <c r="L41" s="5" t="s">
        <v>920</v>
      </c>
      <c r="M41" s="6" t="s">
        <v>843</v>
      </c>
      <c r="N41" s="120" t="s">
        <v>852</v>
      </c>
      <c r="O41" s="27" t="s">
        <v>687</v>
      </c>
      <c r="P41" s="28" t="s">
        <v>33</v>
      </c>
      <c r="Q41" s="29" t="s">
        <v>896</v>
      </c>
      <c r="R41" s="30" t="s">
        <v>71</v>
      </c>
      <c r="S41" s="5" t="s">
        <v>71</v>
      </c>
      <c r="T41" s="29" t="s">
        <v>45</v>
      </c>
      <c r="U41" s="3"/>
      <c r="V41" s="5"/>
      <c r="W41" s="3"/>
    </row>
    <row r="42" spans="1:63" ht="30.75" customHeight="1" x14ac:dyDescent="0.25">
      <c r="A42" s="3" t="s">
        <v>631</v>
      </c>
      <c r="B42" s="3" t="s">
        <v>632</v>
      </c>
      <c r="C42" s="3" t="s">
        <v>773</v>
      </c>
      <c r="D42" s="24" t="s">
        <v>656</v>
      </c>
      <c r="E42" s="25" t="s">
        <v>763</v>
      </c>
      <c r="F42" s="26" t="s">
        <v>764</v>
      </c>
      <c r="G42" s="4" t="s">
        <v>662</v>
      </c>
      <c r="H42" s="5" t="s">
        <v>839</v>
      </c>
      <c r="I42" s="5" t="s">
        <v>921</v>
      </c>
      <c r="J42" s="5" t="s">
        <v>922</v>
      </c>
      <c r="K42" s="5" t="s">
        <v>894</v>
      </c>
      <c r="L42" s="5" t="s">
        <v>923</v>
      </c>
      <c r="M42" s="6" t="s">
        <v>843</v>
      </c>
      <c r="N42" s="120" t="s">
        <v>852</v>
      </c>
      <c r="O42" s="27" t="s">
        <v>687</v>
      </c>
      <c r="P42" s="28" t="s">
        <v>33</v>
      </c>
      <c r="Q42" s="29" t="s">
        <v>896</v>
      </c>
      <c r="R42" s="30" t="s">
        <v>71</v>
      </c>
      <c r="S42" s="5" t="s">
        <v>71</v>
      </c>
      <c r="T42" s="29" t="s">
        <v>45</v>
      </c>
      <c r="U42" s="3"/>
      <c r="V42" s="5"/>
      <c r="W42" s="3"/>
    </row>
    <row r="43" spans="1:63" ht="30.75" customHeight="1" x14ac:dyDescent="0.25">
      <c r="A43" s="3" t="s">
        <v>631</v>
      </c>
      <c r="B43" s="3" t="s">
        <v>632</v>
      </c>
      <c r="C43" s="3" t="s">
        <v>774</v>
      </c>
      <c r="D43" s="24" t="s">
        <v>656</v>
      </c>
      <c r="E43" s="25" t="s">
        <v>763</v>
      </c>
      <c r="F43" s="26" t="s">
        <v>764</v>
      </c>
      <c r="G43" s="4" t="s">
        <v>662</v>
      </c>
      <c r="H43" s="5" t="s">
        <v>839</v>
      </c>
      <c r="I43" s="5" t="s">
        <v>924</v>
      </c>
      <c r="J43" s="5" t="s">
        <v>925</v>
      </c>
      <c r="K43" s="5" t="s">
        <v>894</v>
      </c>
      <c r="L43" s="5" t="s">
        <v>926</v>
      </c>
      <c r="M43" s="6" t="s">
        <v>843</v>
      </c>
      <c r="N43" s="120" t="s">
        <v>852</v>
      </c>
      <c r="O43" s="27" t="s">
        <v>687</v>
      </c>
      <c r="P43" s="28" t="s">
        <v>33</v>
      </c>
      <c r="Q43" s="29" t="s">
        <v>896</v>
      </c>
      <c r="R43" s="30" t="s">
        <v>71</v>
      </c>
      <c r="S43" s="5" t="s">
        <v>71</v>
      </c>
      <c r="T43" s="29" t="s">
        <v>45</v>
      </c>
      <c r="U43" s="3"/>
      <c r="V43" s="5"/>
      <c r="W43" s="3"/>
    </row>
    <row r="44" spans="1:63" ht="30.75" customHeight="1" x14ac:dyDescent="0.25">
      <c r="A44" s="3" t="s">
        <v>631</v>
      </c>
      <c r="B44" s="3" t="s">
        <v>632</v>
      </c>
      <c r="C44" s="3" t="s">
        <v>775</v>
      </c>
      <c r="D44" s="24" t="s">
        <v>656</v>
      </c>
      <c r="E44" s="131" t="s">
        <v>763</v>
      </c>
      <c r="F44" s="132" t="s">
        <v>764</v>
      </c>
      <c r="G44" s="4" t="s">
        <v>838</v>
      </c>
      <c r="H44" s="133" t="s">
        <v>839</v>
      </c>
      <c r="I44" s="5" t="s">
        <v>927</v>
      </c>
      <c r="J44" s="133" t="s">
        <v>928</v>
      </c>
      <c r="K44" s="133" t="s">
        <v>894</v>
      </c>
      <c r="L44" s="133" t="s">
        <v>929</v>
      </c>
      <c r="M44" s="6" t="s">
        <v>843</v>
      </c>
      <c r="N44" s="120" t="s">
        <v>852</v>
      </c>
      <c r="O44" s="134" t="s">
        <v>687</v>
      </c>
      <c r="P44" s="29" t="s">
        <v>33</v>
      </c>
      <c r="Q44" s="29" t="s">
        <v>896</v>
      </c>
      <c r="R44" s="30" t="s">
        <v>71</v>
      </c>
      <c r="S44" s="133" t="s">
        <v>71</v>
      </c>
      <c r="T44" s="29" t="s">
        <v>45</v>
      </c>
      <c r="U44" s="3"/>
      <c r="V44" s="133"/>
      <c r="W44" s="3"/>
    </row>
    <row r="45" spans="1:63" ht="30.75" customHeight="1" x14ac:dyDescent="0.25">
      <c r="A45" s="3" t="s">
        <v>631</v>
      </c>
      <c r="B45" s="3" t="s">
        <v>632</v>
      </c>
      <c r="C45" s="3" t="s">
        <v>776</v>
      </c>
      <c r="D45" s="24" t="s">
        <v>656</v>
      </c>
      <c r="E45" s="25" t="s">
        <v>763</v>
      </c>
      <c r="F45" s="26" t="s">
        <v>764</v>
      </c>
      <c r="G45" s="4" t="s">
        <v>838</v>
      </c>
      <c r="H45" s="5" t="s">
        <v>839</v>
      </c>
      <c r="I45" s="5" t="s">
        <v>930</v>
      </c>
      <c r="J45" s="5" t="s">
        <v>931</v>
      </c>
      <c r="K45" s="5" t="s">
        <v>894</v>
      </c>
      <c r="L45" s="5" t="s">
        <v>932</v>
      </c>
      <c r="M45" s="6" t="s">
        <v>843</v>
      </c>
      <c r="N45" s="120" t="s">
        <v>852</v>
      </c>
      <c r="O45" s="27" t="s">
        <v>687</v>
      </c>
      <c r="P45" s="28" t="s">
        <v>33</v>
      </c>
      <c r="Q45" s="29" t="s">
        <v>896</v>
      </c>
      <c r="R45" s="30" t="s">
        <v>71</v>
      </c>
      <c r="S45" s="5" t="s">
        <v>71</v>
      </c>
      <c r="T45" s="29" t="s">
        <v>45</v>
      </c>
      <c r="U45" s="3"/>
      <c r="V45" s="5"/>
      <c r="W45" s="3"/>
    </row>
    <row r="46" spans="1:63" ht="30.75" customHeight="1" x14ac:dyDescent="0.25">
      <c r="A46" s="3" t="s">
        <v>631</v>
      </c>
      <c r="B46" s="3" t="s">
        <v>632</v>
      </c>
      <c r="C46" s="3" t="s">
        <v>777</v>
      </c>
      <c r="D46" s="24" t="s">
        <v>656</v>
      </c>
      <c r="E46" s="25" t="s">
        <v>763</v>
      </c>
      <c r="F46" s="5" t="s">
        <v>764</v>
      </c>
      <c r="G46" s="4" t="s">
        <v>662</v>
      </c>
      <c r="H46" s="5" t="s">
        <v>839</v>
      </c>
      <c r="I46" s="5" t="s">
        <v>933</v>
      </c>
      <c r="J46" s="5" t="s">
        <v>934</v>
      </c>
      <c r="K46" s="5" t="s">
        <v>894</v>
      </c>
      <c r="L46" s="5" t="s">
        <v>935</v>
      </c>
      <c r="M46" s="6" t="s">
        <v>843</v>
      </c>
      <c r="N46" s="120" t="s">
        <v>852</v>
      </c>
      <c r="O46" s="27" t="s">
        <v>687</v>
      </c>
      <c r="P46" s="28" t="s">
        <v>33</v>
      </c>
      <c r="Q46" s="29" t="s">
        <v>896</v>
      </c>
      <c r="R46" s="30" t="s">
        <v>71</v>
      </c>
      <c r="S46" s="5" t="s">
        <v>71</v>
      </c>
      <c r="T46" s="29" t="s">
        <v>45</v>
      </c>
      <c r="U46" s="3"/>
      <c r="V46" s="5"/>
      <c r="W46" s="3"/>
    </row>
    <row r="47" spans="1:63" ht="30.75" customHeight="1" x14ac:dyDescent="0.25">
      <c r="A47" s="3" t="s">
        <v>631</v>
      </c>
      <c r="B47" s="3" t="s">
        <v>632</v>
      </c>
      <c r="C47" s="3" t="s">
        <v>778</v>
      </c>
      <c r="D47" s="24" t="s">
        <v>656</v>
      </c>
      <c r="E47" s="25" t="s">
        <v>763</v>
      </c>
      <c r="F47" s="5" t="s">
        <v>764</v>
      </c>
      <c r="G47" s="4" t="s">
        <v>662</v>
      </c>
      <c r="H47" s="5" t="s">
        <v>839</v>
      </c>
      <c r="I47" s="5" t="s">
        <v>936</v>
      </c>
      <c r="J47" s="5" t="s">
        <v>937</v>
      </c>
      <c r="K47" s="5" t="s">
        <v>894</v>
      </c>
      <c r="L47" s="5" t="s">
        <v>938</v>
      </c>
      <c r="M47" s="6" t="s">
        <v>843</v>
      </c>
      <c r="N47" s="120" t="s">
        <v>852</v>
      </c>
      <c r="O47" s="27" t="s">
        <v>687</v>
      </c>
      <c r="P47" s="28" t="s">
        <v>33</v>
      </c>
      <c r="Q47" s="29" t="s">
        <v>896</v>
      </c>
      <c r="R47" s="30" t="s">
        <v>71</v>
      </c>
      <c r="S47" s="5" t="s">
        <v>71</v>
      </c>
      <c r="T47" s="29" t="s">
        <v>45</v>
      </c>
      <c r="U47" s="3"/>
      <c r="V47" s="5"/>
      <c r="W47" s="3"/>
    </row>
    <row r="48" spans="1:63" ht="30.75" customHeight="1" x14ac:dyDescent="0.25">
      <c r="A48" s="3" t="s">
        <v>631</v>
      </c>
      <c r="B48" s="3" t="s">
        <v>632</v>
      </c>
      <c r="C48" s="3" t="s">
        <v>779</v>
      </c>
      <c r="D48" s="24" t="s">
        <v>656</v>
      </c>
      <c r="E48" s="25" t="s">
        <v>763</v>
      </c>
      <c r="F48" s="5" t="s">
        <v>764</v>
      </c>
      <c r="G48" s="4" t="s">
        <v>838</v>
      </c>
      <c r="H48" s="5" t="s">
        <v>839</v>
      </c>
      <c r="I48" s="5" t="s">
        <v>939</v>
      </c>
      <c r="J48" s="5" t="s">
        <v>940</v>
      </c>
      <c r="K48" s="5" t="s">
        <v>894</v>
      </c>
      <c r="L48" s="5" t="s">
        <v>941</v>
      </c>
      <c r="M48" s="6" t="s">
        <v>843</v>
      </c>
      <c r="N48" s="120" t="s">
        <v>852</v>
      </c>
      <c r="O48" s="27" t="s">
        <v>687</v>
      </c>
      <c r="P48" s="28" t="s">
        <v>33</v>
      </c>
      <c r="Q48" s="29" t="s">
        <v>896</v>
      </c>
      <c r="R48" s="30" t="s">
        <v>71</v>
      </c>
      <c r="S48" s="5" t="s">
        <v>71</v>
      </c>
      <c r="T48" s="29" t="s">
        <v>45</v>
      </c>
      <c r="U48" s="3"/>
      <c r="V48" s="5"/>
      <c r="W48" s="3"/>
    </row>
    <row r="49" spans="1:23" ht="30.75" customHeight="1" x14ac:dyDescent="0.25">
      <c r="A49" s="3" t="s">
        <v>631</v>
      </c>
      <c r="B49" s="3" t="s">
        <v>632</v>
      </c>
      <c r="C49" s="3" t="s">
        <v>780</v>
      </c>
      <c r="D49" s="24" t="s">
        <v>656</v>
      </c>
      <c r="E49" s="25" t="s">
        <v>763</v>
      </c>
      <c r="F49" s="5" t="s">
        <v>764</v>
      </c>
      <c r="G49" s="4" t="s">
        <v>662</v>
      </c>
      <c r="H49" s="5" t="s">
        <v>839</v>
      </c>
      <c r="I49" s="5" t="s">
        <v>942</v>
      </c>
      <c r="J49" s="5" t="s">
        <v>943</v>
      </c>
      <c r="K49" s="5" t="s">
        <v>894</v>
      </c>
      <c r="L49" s="5" t="s">
        <v>944</v>
      </c>
      <c r="M49" s="6" t="s">
        <v>843</v>
      </c>
      <c r="N49" s="120" t="s">
        <v>852</v>
      </c>
      <c r="O49" s="27" t="s">
        <v>687</v>
      </c>
      <c r="P49" s="28" t="s">
        <v>33</v>
      </c>
      <c r="Q49" s="29" t="s">
        <v>896</v>
      </c>
      <c r="R49" s="30" t="s">
        <v>71</v>
      </c>
      <c r="S49" s="5" t="s">
        <v>71</v>
      </c>
      <c r="T49" s="29" t="s">
        <v>45</v>
      </c>
      <c r="U49" s="3"/>
      <c r="V49" s="5"/>
      <c r="W49" s="3"/>
    </row>
    <row r="50" spans="1:23" ht="30.75" customHeight="1" x14ac:dyDescent="0.25">
      <c r="A50" s="3" t="s">
        <v>631</v>
      </c>
      <c r="B50" s="3" t="s">
        <v>632</v>
      </c>
      <c r="C50" s="3" t="s">
        <v>781</v>
      </c>
      <c r="D50" s="24" t="s">
        <v>656</v>
      </c>
      <c r="E50" s="25" t="s">
        <v>763</v>
      </c>
      <c r="F50" s="5" t="s">
        <v>764</v>
      </c>
      <c r="G50" s="4" t="s">
        <v>662</v>
      </c>
      <c r="H50" s="5" t="s">
        <v>839</v>
      </c>
      <c r="I50" s="5" t="s">
        <v>945</v>
      </c>
      <c r="J50" s="5" t="s">
        <v>946</v>
      </c>
      <c r="K50" s="5" t="s">
        <v>894</v>
      </c>
      <c r="L50" s="5" t="s">
        <v>947</v>
      </c>
      <c r="M50" s="6" t="s">
        <v>843</v>
      </c>
      <c r="N50" s="120" t="s">
        <v>686</v>
      </c>
      <c r="O50" s="27" t="s">
        <v>652</v>
      </c>
      <c r="P50" s="28" t="s">
        <v>33</v>
      </c>
      <c r="Q50" s="29" t="s">
        <v>845</v>
      </c>
      <c r="R50" s="30" t="s">
        <v>71</v>
      </c>
      <c r="S50" s="5" t="s">
        <v>71</v>
      </c>
      <c r="T50" s="29" t="s">
        <v>45</v>
      </c>
      <c r="U50" s="3"/>
      <c r="V50" s="5"/>
      <c r="W50" s="3"/>
    </row>
    <row r="51" spans="1:23" ht="30.75" customHeight="1" x14ac:dyDescent="0.25">
      <c r="A51" s="3" t="s">
        <v>631</v>
      </c>
      <c r="B51" s="3" t="s">
        <v>632</v>
      </c>
      <c r="C51" s="3" t="s">
        <v>782</v>
      </c>
      <c r="D51" s="24" t="s">
        <v>656</v>
      </c>
      <c r="E51" s="25" t="s">
        <v>763</v>
      </c>
      <c r="F51" s="5" t="s">
        <v>764</v>
      </c>
      <c r="G51" s="4" t="s">
        <v>662</v>
      </c>
      <c r="H51" s="5" t="s">
        <v>839</v>
      </c>
      <c r="I51" s="5" t="s">
        <v>948</v>
      </c>
      <c r="J51" s="5" t="s">
        <v>949</v>
      </c>
      <c r="K51" s="5" t="s">
        <v>894</v>
      </c>
      <c r="L51" s="5" t="s">
        <v>950</v>
      </c>
      <c r="M51" s="6" t="s">
        <v>843</v>
      </c>
      <c r="N51" s="120" t="s">
        <v>686</v>
      </c>
      <c r="O51" s="27" t="s">
        <v>652</v>
      </c>
      <c r="P51" s="28" t="s">
        <v>33</v>
      </c>
      <c r="Q51" s="29" t="s">
        <v>845</v>
      </c>
      <c r="R51" s="30" t="s">
        <v>71</v>
      </c>
      <c r="S51" s="5" t="s">
        <v>71</v>
      </c>
      <c r="T51" s="29" t="s">
        <v>45</v>
      </c>
      <c r="U51" s="3"/>
      <c r="V51" s="5"/>
      <c r="W51" s="3"/>
    </row>
    <row r="52" spans="1:23" ht="30.75" customHeight="1" x14ac:dyDescent="0.25">
      <c r="A52" s="3" t="s">
        <v>631</v>
      </c>
      <c r="B52" s="3" t="s">
        <v>632</v>
      </c>
      <c r="C52" s="3" t="s">
        <v>783</v>
      </c>
      <c r="D52" s="24" t="s">
        <v>656</v>
      </c>
      <c r="E52" s="25" t="s">
        <v>763</v>
      </c>
      <c r="F52" s="5" t="s">
        <v>764</v>
      </c>
      <c r="G52" s="4" t="s">
        <v>838</v>
      </c>
      <c r="H52" s="5" t="s">
        <v>839</v>
      </c>
      <c r="I52" s="5" t="s">
        <v>951</v>
      </c>
      <c r="J52" s="5" t="s">
        <v>952</v>
      </c>
      <c r="K52" s="5" t="s">
        <v>894</v>
      </c>
      <c r="L52" s="5" t="s">
        <v>953</v>
      </c>
      <c r="M52" s="6" t="s">
        <v>843</v>
      </c>
      <c r="N52" s="120" t="s">
        <v>686</v>
      </c>
      <c r="O52" s="27" t="s">
        <v>652</v>
      </c>
      <c r="P52" s="28" t="s">
        <v>33</v>
      </c>
      <c r="Q52" s="29" t="s">
        <v>845</v>
      </c>
      <c r="R52" s="30" t="s">
        <v>71</v>
      </c>
      <c r="S52" s="5" t="s">
        <v>71</v>
      </c>
      <c r="T52" s="29" t="s">
        <v>45</v>
      </c>
      <c r="U52" s="3"/>
      <c r="V52" s="5"/>
      <c r="W52" s="3"/>
    </row>
    <row r="53" spans="1:23" ht="30.75" customHeight="1" x14ac:dyDescent="0.25">
      <c r="A53" s="3" t="s">
        <v>631</v>
      </c>
      <c r="B53" s="3" t="s">
        <v>632</v>
      </c>
      <c r="C53" s="3" t="s">
        <v>784</v>
      </c>
      <c r="D53" s="24" t="s">
        <v>656</v>
      </c>
      <c r="E53" s="25" t="s">
        <v>763</v>
      </c>
      <c r="F53" s="5" t="s">
        <v>764</v>
      </c>
      <c r="G53" s="4" t="s">
        <v>662</v>
      </c>
      <c r="H53" s="5" t="s">
        <v>839</v>
      </c>
      <c r="I53" s="5" t="s">
        <v>954</v>
      </c>
      <c r="J53" s="5" t="s">
        <v>955</v>
      </c>
      <c r="K53" s="5" t="s">
        <v>894</v>
      </c>
      <c r="L53" s="5" t="s">
        <v>956</v>
      </c>
      <c r="M53" s="6" t="s">
        <v>843</v>
      </c>
      <c r="N53" s="120" t="s">
        <v>686</v>
      </c>
      <c r="O53" s="27" t="s">
        <v>652</v>
      </c>
      <c r="P53" s="28" t="s">
        <v>33</v>
      </c>
      <c r="Q53" s="29" t="s">
        <v>845</v>
      </c>
      <c r="R53" s="30" t="s">
        <v>71</v>
      </c>
      <c r="S53" s="5" t="s">
        <v>71</v>
      </c>
      <c r="T53" s="29" t="s">
        <v>45</v>
      </c>
      <c r="U53" s="3"/>
      <c r="V53" s="5"/>
      <c r="W53" s="3"/>
    </row>
    <row r="54" spans="1:23" ht="30.75" customHeight="1" x14ac:dyDescent="0.25">
      <c r="A54" s="3" t="s">
        <v>631</v>
      </c>
      <c r="B54" s="3" t="s">
        <v>632</v>
      </c>
      <c r="C54" s="3" t="s">
        <v>785</v>
      </c>
      <c r="D54" s="24" t="s">
        <v>656</v>
      </c>
      <c r="E54" s="25" t="s">
        <v>763</v>
      </c>
      <c r="F54" s="5" t="s">
        <v>764</v>
      </c>
      <c r="G54" s="4" t="s">
        <v>662</v>
      </c>
      <c r="H54" s="5" t="s">
        <v>839</v>
      </c>
      <c r="I54" s="5" t="s">
        <v>957</v>
      </c>
      <c r="J54" s="5" t="s">
        <v>958</v>
      </c>
      <c r="K54" s="5" t="s">
        <v>894</v>
      </c>
      <c r="L54" s="5" t="s">
        <v>959</v>
      </c>
      <c r="M54" s="6" t="s">
        <v>843</v>
      </c>
      <c r="N54" s="120" t="s">
        <v>686</v>
      </c>
      <c r="O54" s="27" t="s">
        <v>652</v>
      </c>
      <c r="P54" s="28" t="s">
        <v>33</v>
      </c>
      <c r="Q54" s="29" t="s">
        <v>845</v>
      </c>
      <c r="R54" s="30" t="s">
        <v>71</v>
      </c>
      <c r="S54" s="5" t="s">
        <v>71</v>
      </c>
      <c r="T54" s="29" t="s">
        <v>45</v>
      </c>
      <c r="U54" s="3"/>
      <c r="V54" s="5"/>
      <c r="W54" s="3"/>
    </row>
    <row r="55" spans="1:23" ht="30.75" customHeight="1" x14ac:dyDescent="0.25">
      <c r="A55" s="3" t="s">
        <v>631</v>
      </c>
      <c r="B55" s="3" t="s">
        <v>632</v>
      </c>
      <c r="C55" s="3" t="s">
        <v>786</v>
      </c>
      <c r="D55" s="24" t="s">
        <v>656</v>
      </c>
      <c r="E55" s="25" t="s">
        <v>763</v>
      </c>
      <c r="F55" s="26" t="s">
        <v>764</v>
      </c>
      <c r="G55" s="4" t="s">
        <v>838</v>
      </c>
      <c r="H55" s="5" t="s">
        <v>839</v>
      </c>
      <c r="I55" s="5" t="s">
        <v>960</v>
      </c>
      <c r="J55" s="5" t="s">
        <v>961</v>
      </c>
      <c r="K55" s="5" t="s">
        <v>894</v>
      </c>
      <c r="L55" s="5" t="s">
        <v>962</v>
      </c>
      <c r="M55" s="6" t="s">
        <v>843</v>
      </c>
      <c r="N55" s="120" t="s">
        <v>852</v>
      </c>
      <c r="O55" s="27" t="s">
        <v>687</v>
      </c>
      <c r="P55" s="28" t="s">
        <v>33</v>
      </c>
      <c r="Q55" s="29" t="s">
        <v>896</v>
      </c>
      <c r="R55" s="30" t="s">
        <v>71</v>
      </c>
      <c r="S55" s="5" t="s">
        <v>71</v>
      </c>
      <c r="T55" s="29" t="s">
        <v>45</v>
      </c>
      <c r="U55" s="3"/>
      <c r="V55" s="5"/>
      <c r="W55" s="3"/>
    </row>
    <row r="56" spans="1:23" ht="30.75" customHeight="1" x14ac:dyDescent="0.25">
      <c r="A56" s="3" t="s">
        <v>631</v>
      </c>
      <c r="B56" s="3" t="s">
        <v>632</v>
      </c>
      <c r="C56" s="3" t="s">
        <v>787</v>
      </c>
      <c r="D56" s="24" t="s">
        <v>656</v>
      </c>
      <c r="E56" s="25" t="s">
        <v>763</v>
      </c>
      <c r="F56" s="26" t="s">
        <v>764</v>
      </c>
      <c r="G56" s="4" t="s">
        <v>662</v>
      </c>
      <c r="H56" s="5" t="s">
        <v>839</v>
      </c>
      <c r="I56" s="5" t="s">
        <v>963</v>
      </c>
      <c r="J56" s="5" t="s">
        <v>964</v>
      </c>
      <c r="K56" s="5" t="s">
        <v>894</v>
      </c>
      <c r="L56" s="5" t="s">
        <v>965</v>
      </c>
      <c r="M56" s="6" t="s">
        <v>843</v>
      </c>
      <c r="N56" s="120" t="s">
        <v>852</v>
      </c>
      <c r="O56" s="27" t="s">
        <v>687</v>
      </c>
      <c r="P56" s="28" t="s">
        <v>33</v>
      </c>
      <c r="Q56" s="29" t="s">
        <v>896</v>
      </c>
      <c r="R56" s="30" t="s">
        <v>71</v>
      </c>
      <c r="S56" s="5" t="s">
        <v>71</v>
      </c>
      <c r="T56" s="29" t="s">
        <v>45</v>
      </c>
      <c r="U56" s="3"/>
      <c r="V56" s="5"/>
      <c r="W56" s="3"/>
    </row>
    <row r="57" spans="1:23" ht="30.75" customHeight="1" x14ac:dyDescent="0.25">
      <c r="A57" s="3" t="s">
        <v>631</v>
      </c>
      <c r="B57" s="3" t="s">
        <v>632</v>
      </c>
      <c r="C57" s="3" t="s">
        <v>788</v>
      </c>
      <c r="D57" s="24" t="s">
        <v>656</v>
      </c>
      <c r="E57" s="25" t="s">
        <v>763</v>
      </c>
      <c r="F57" s="26" t="s">
        <v>764</v>
      </c>
      <c r="G57" s="4" t="s">
        <v>662</v>
      </c>
      <c r="H57" s="5" t="s">
        <v>839</v>
      </c>
      <c r="I57" s="5" t="s">
        <v>966</v>
      </c>
      <c r="J57" s="5" t="s">
        <v>967</v>
      </c>
      <c r="K57" s="5" t="s">
        <v>894</v>
      </c>
      <c r="L57" s="5" t="s">
        <v>968</v>
      </c>
      <c r="M57" s="6" t="s">
        <v>843</v>
      </c>
      <c r="N57" s="120" t="s">
        <v>852</v>
      </c>
      <c r="O57" s="27" t="s">
        <v>687</v>
      </c>
      <c r="P57" s="28" t="s">
        <v>33</v>
      </c>
      <c r="Q57" s="29" t="s">
        <v>896</v>
      </c>
      <c r="R57" s="30" t="s">
        <v>71</v>
      </c>
      <c r="S57" s="5" t="s">
        <v>71</v>
      </c>
      <c r="T57" s="29" t="s">
        <v>45</v>
      </c>
      <c r="U57" s="3"/>
      <c r="V57" s="5"/>
      <c r="W57" s="3"/>
    </row>
    <row r="58" spans="1:23" ht="30.75" customHeight="1" x14ac:dyDescent="0.25">
      <c r="A58" s="3" t="s">
        <v>631</v>
      </c>
      <c r="B58" s="3" t="s">
        <v>632</v>
      </c>
      <c r="C58" s="3" t="s">
        <v>789</v>
      </c>
      <c r="D58" s="24" t="s">
        <v>656</v>
      </c>
      <c r="E58" s="25" t="s">
        <v>763</v>
      </c>
      <c r="F58" s="26" t="s">
        <v>764</v>
      </c>
      <c r="G58" s="4" t="s">
        <v>662</v>
      </c>
      <c r="H58" s="5" t="s">
        <v>839</v>
      </c>
      <c r="I58" s="5" t="s">
        <v>969</v>
      </c>
      <c r="J58" s="5" t="s">
        <v>970</v>
      </c>
      <c r="K58" s="5" t="s">
        <v>894</v>
      </c>
      <c r="L58" s="5" t="s">
        <v>971</v>
      </c>
      <c r="M58" s="6" t="s">
        <v>843</v>
      </c>
      <c r="N58" s="120" t="s">
        <v>852</v>
      </c>
      <c r="O58" s="27" t="s">
        <v>687</v>
      </c>
      <c r="P58" s="28" t="s">
        <v>33</v>
      </c>
      <c r="Q58" s="29" t="s">
        <v>896</v>
      </c>
      <c r="R58" s="30" t="s">
        <v>71</v>
      </c>
      <c r="S58" s="5" t="s">
        <v>71</v>
      </c>
      <c r="T58" s="29" t="s">
        <v>45</v>
      </c>
      <c r="U58" s="3"/>
      <c r="V58" s="5"/>
      <c r="W58" s="3"/>
    </row>
    <row r="59" spans="1:23" ht="30.75" customHeight="1" x14ac:dyDescent="0.25">
      <c r="A59" s="3" t="s">
        <v>631</v>
      </c>
      <c r="B59" s="3" t="s">
        <v>632</v>
      </c>
      <c r="C59" s="3" t="s">
        <v>790</v>
      </c>
      <c r="D59" s="24" t="s">
        <v>656</v>
      </c>
      <c r="E59" s="25" t="s">
        <v>763</v>
      </c>
      <c r="F59" s="26" t="s">
        <v>764</v>
      </c>
      <c r="G59" s="4" t="s">
        <v>838</v>
      </c>
      <c r="H59" s="5" t="s">
        <v>839</v>
      </c>
      <c r="I59" s="5" t="s">
        <v>972</v>
      </c>
      <c r="J59" s="5" t="s">
        <v>973</v>
      </c>
      <c r="K59" s="5" t="s">
        <v>894</v>
      </c>
      <c r="L59" s="5" t="s">
        <v>974</v>
      </c>
      <c r="M59" s="6" t="s">
        <v>843</v>
      </c>
      <c r="N59" s="120" t="s">
        <v>686</v>
      </c>
      <c r="O59" s="27" t="s">
        <v>652</v>
      </c>
      <c r="P59" s="28" t="s">
        <v>33</v>
      </c>
      <c r="Q59" s="29" t="s">
        <v>845</v>
      </c>
      <c r="R59" s="30" t="s">
        <v>71</v>
      </c>
      <c r="S59" s="5" t="s">
        <v>71</v>
      </c>
      <c r="T59" s="29" t="s">
        <v>45</v>
      </c>
      <c r="U59" s="3"/>
      <c r="V59" s="5"/>
      <c r="W59" s="3"/>
    </row>
    <row r="60" spans="1:23" ht="30.75" customHeight="1" x14ac:dyDescent="0.25">
      <c r="A60" s="3" t="s">
        <v>631</v>
      </c>
      <c r="B60" s="3" t="s">
        <v>632</v>
      </c>
      <c r="C60" s="3" t="s">
        <v>791</v>
      </c>
      <c r="D60" s="24" t="s">
        <v>656</v>
      </c>
      <c r="E60" s="25" t="s">
        <v>763</v>
      </c>
      <c r="F60" s="26" t="s">
        <v>764</v>
      </c>
      <c r="G60" s="4" t="s">
        <v>838</v>
      </c>
      <c r="H60" s="5" t="s">
        <v>839</v>
      </c>
      <c r="I60" s="5" t="s">
        <v>975</v>
      </c>
      <c r="J60" s="5" t="s">
        <v>976</v>
      </c>
      <c r="K60" s="5" t="s">
        <v>894</v>
      </c>
      <c r="L60" s="5" t="s">
        <v>977</v>
      </c>
      <c r="M60" s="6" t="s">
        <v>843</v>
      </c>
      <c r="N60" s="120" t="s">
        <v>686</v>
      </c>
      <c r="O60" s="27" t="s">
        <v>652</v>
      </c>
      <c r="P60" s="28" t="s">
        <v>33</v>
      </c>
      <c r="Q60" s="29" t="s">
        <v>845</v>
      </c>
      <c r="R60" s="30" t="s">
        <v>71</v>
      </c>
      <c r="S60" s="5" t="s">
        <v>71</v>
      </c>
      <c r="T60" s="29" t="s">
        <v>45</v>
      </c>
      <c r="U60" s="3"/>
      <c r="V60" s="5"/>
      <c r="W60" s="3"/>
    </row>
    <row r="61" spans="1:23" ht="30.75" customHeight="1" x14ac:dyDescent="0.25">
      <c r="A61" s="3" t="s">
        <v>631</v>
      </c>
      <c r="B61" s="3" t="s">
        <v>632</v>
      </c>
      <c r="C61" s="3" t="s">
        <v>792</v>
      </c>
      <c r="D61" s="24" t="s">
        <v>656</v>
      </c>
      <c r="E61" s="25" t="s">
        <v>763</v>
      </c>
      <c r="F61" s="26" t="s">
        <v>764</v>
      </c>
      <c r="G61" s="4" t="s">
        <v>838</v>
      </c>
      <c r="H61" s="5" t="s">
        <v>839</v>
      </c>
      <c r="I61" s="5" t="s">
        <v>978</v>
      </c>
      <c r="J61" s="5" t="s">
        <v>979</v>
      </c>
      <c r="K61" s="5" t="s">
        <v>894</v>
      </c>
      <c r="L61" s="5" t="s">
        <v>980</v>
      </c>
      <c r="M61" s="6" t="s">
        <v>843</v>
      </c>
      <c r="N61" s="120" t="s">
        <v>852</v>
      </c>
      <c r="O61" s="27" t="s">
        <v>687</v>
      </c>
      <c r="P61" s="28" t="s">
        <v>33</v>
      </c>
      <c r="Q61" s="29" t="s">
        <v>896</v>
      </c>
      <c r="R61" s="30" t="s">
        <v>71</v>
      </c>
      <c r="S61" s="5" t="s">
        <v>71</v>
      </c>
      <c r="T61" s="29" t="s">
        <v>45</v>
      </c>
      <c r="U61" s="3"/>
      <c r="V61" s="5"/>
      <c r="W61" s="3"/>
    </row>
    <row r="62" spans="1:23" ht="30.75" customHeight="1" x14ac:dyDescent="0.25">
      <c r="A62" s="3" t="s">
        <v>631</v>
      </c>
      <c r="B62" s="3" t="s">
        <v>632</v>
      </c>
      <c r="C62" s="3" t="s">
        <v>793</v>
      </c>
      <c r="D62" s="24" t="s">
        <v>656</v>
      </c>
      <c r="E62" s="25" t="s">
        <v>763</v>
      </c>
      <c r="F62" s="26" t="s">
        <v>764</v>
      </c>
      <c r="G62" s="4" t="s">
        <v>838</v>
      </c>
      <c r="H62" s="5" t="s">
        <v>839</v>
      </c>
      <c r="I62" s="5" t="s">
        <v>981</v>
      </c>
      <c r="J62" s="5" t="s">
        <v>982</v>
      </c>
      <c r="K62" s="5" t="s">
        <v>894</v>
      </c>
      <c r="L62" s="5" t="s">
        <v>983</v>
      </c>
      <c r="M62" s="6" t="s">
        <v>843</v>
      </c>
      <c r="N62" s="120" t="s">
        <v>852</v>
      </c>
      <c r="O62" s="27" t="s">
        <v>687</v>
      </c>
      <c r="P62" s="28" t="s">
        <v>33</v>
      </c>
      <c r="Q62" s="29" t="s">
        <v>896</v>
      </c>
      <c r="R62" s="30" t="s">
        <v>71</v>
      </c>
      <c r="S62" s="5" t="s">
        <v>71</v>
      </c>
      <c r="T62" s="29" t="s">
        <v>45</v>
      </c>
      <c r="U62" s="3"/>
      <c r="V62" s="5"/>
      <c r="W62" s="3"/>
    </row>
    <row r="63" spans="1:23" ht="30.75" customHeight="1" x14ac:dyDescent="0.25">
      <c r="A63" s="3" t="s">
        <v>631</v>
      </c>
      <c r="B63" s="3" t="s">
        <v>632</v>
      </c>
      <c r="C63" s="3" t="s">
        <v>794</v>
      </c>
      <c r="D63" s="24" t="s">
        <v>656</v>
      </c>
      <c r="E63" s="25" t="s">
        <v>763</v>
      </c>
      <c r="F63" s="26" t="s">
        <v>764</v>
      </c>
      <c r="G63" s="4" t="s">
        <v>662</v>
      </c>
      <c r="H63" s="5" t="s">
        <v>839</v>
      </c>
      <c r="I63" s="5" t="s">
        <v>984</v>
      </c>
      <c r="J63" s="5" t="s">
        <v>985</v>
      </c>
      <c r="K63" s="5" t="s">
        <v>894</v>
      </c>
      <c r="L63" s="5" t="s">
        <v>986</v>
      </c>
      <c r="M63" s="6" t="s">
        <v>843</v>
      </c>
      <c r="N63" s="120" t="s">
        <v>852</v>
      </c>
      <c r="O63" s="27" t="s">
        <v>687</v>
      </c>
      <c r="P63" s="28" t="s">
        <v>33</v>
      </c>
      <c r="Q63" s="29" t="s">
        <v>896</v>
      </c>
      <c r="R63" s="30" t="s">
        <v>71</v>
      </c>
      <c r="S63" s="5" t="s">
        <v>71</v>
      </c>
      <c r="T63" s="29" t="s">
        <v>45</v>
      </c>
      <c r="U63" s="3"/>
      <c r="V63" s="5"/>
      <c r="W63" s="3"/>
    </row>
    <row r="64" spans="1:23" ht="30.75" customHeight="1" x14ac:dyDescent="0.25">
      <c r="A64" s="3" t="s">
        <v>631</v>
      </c>
      <c r="B64" s="3" t="s">
        <v>632</v>
      </c>
      <c r="C64" s="3" t="s">
        <v>795</v>
      </c>
      <c r="D64" s="24" t="s">
        <v>656</v>
      </c>
      <c r="E64" s="25" t="s">
        <v>763</v>
      </c>
      <c r="F64" s="26" t="s">
        <v>764</v>
      </c>
      <c r="G64" s="4" t="s">
        <v>662</v>
      </c>
      <c r="H64" s="5" t="s">
        <v>839</v>
      </c>
      <c r="I64" s="5" t="s">
        <v>987</v>
      </c>
      <c r="J64" s="5" t="s">
        <v>988</v>
      </c>
      <c r="K64" s="5" t="s">
        <v>894</v>
      </c>
      <c r="L64" s="5" t="s">
        <v>989</v>
      </c>
      <c r="M64" s="6" t="s">
        <v>843</v>
      </c>
      <c r="N64" s="120" t="s">
        <v>852</v>
      </c>
      <c r="O64" s="27" t="s">
        <v>687</v>
      </c>
      <c r="P64" s="28" t="s">
        <v>33</v>
      </c>
      <c r="Q64" s="29" t="s">
        <v>896</v>
      </c>
      <c r="R64" s="30" t="s">
        <v>71</v>
      </c>
      <c r="S64" s="5" t="s">
        <v>71</v>
      </c>
      <c r="T64" s="29" t="s">
        <v>45</v>
      </c>
      <c r="U64" s="3"/>
      <c r="V64" s="5"/>
      <c r="W64" s="3"/>
    </row>
    <row r="65" spans="1:23" ht="30.75" customHeight="1" x14ac:dyDescent="0.25">
      <c r="A65" s="3" t="s">
        <v>631</v>
      </c>
      <c r="B65" s="3" t="s">
        <v>632</v>
      </c>
      <c r="C65" s="3" t="s">
        <v>796</v>
      </c>
      <c r="D65" s="24" t="s">
        <v>656</v>
      </c>
      <c r="E65" s="25" t="s">
        <v>763</v>
      </c>
      <c r="F65" s="26" t="s">
        <v>764</v>
      </c>
      <c r="G65" s="4" t="s">
        <v>662</v>
      </c>
      <c r="H65" s="5" t="s">
        <v>839</v>
      </c>
      <c r="I65" s="5" t="s">
        <v>990</v>
      </c>
      <c r="J65" s="5" t="s">
        <v>991</v>
      </c>
      <c r="K65" s="5" t="s">
        <v>894</v>
      </c>
      <c r="L65" s="5" t="s">
        <v>992</v>
      </c>
      <c r="M65" s="6" t="s">
        <v>843</v>
      </c>
      <c r="N65" s="120" t="s">
        <v>686</v>
      </c>
      <c r="O65" s="27" t="s">
        <v>652</v>
      </c>
      <c r="P65" s="28" t="s">
        <v>33</v>
      </c>
      <c r="Q65" s="29" t="s">
        <v>845</v>
      </c>
      <c r="R65" s="30" t="s">
        <v>71</v>
      </c>
      <c r="S65" s="5" t="s">
        <v>71</v>
      </c>
      <c r="T65" s="29" t="s">
        <v>45</v>
      </c>
      <c r="U65" s="3"/>
      <c r="V65" s="5"/>
      <c r="W65" s="3"/>
    </row>
    <row r="66" spans="1:23" ht="30.75" customHeight="1" x14ac:dyDescent="0.25">
      <c r="A66" s="3" t="s">
        <v>631</v>
      </c>
      <c r="B66" s="3" t="s">
        <v>632</v>
      </c>
      <c r="C66" s="3" t="s">
        <v>797</v>
      </c>
      <c r="D66" s="24" t="s">
        <v>656</v>
      </c>
      <c r="E66" s="25" t="s">
        <v>763</v>
      </c>
      <c r="F66" s="26" t="s">
        <v>764</v>
      </c>
      <c r="G66" s="4" t="s">
        <v>662</v>
      </c>
      <c r="H66" s="5" t="s">
        <v>839</v>
      </c>
      <c r="I66" s="5" t="s">
        <v>993</v>
      </c>
      <c r="J66" s="5" t="s">
        <v>994</v>
      </c>
      <c r="K66" s="5" t="s">
        <v>894</v>
      </c>
      <c r="L66" s="5" t="s">
        <v>995</v>
      </c>
      <c r="M66" s="6" t="s">
        <v>843</v>
      </c>
      <c r="N66" s="120" t="s">
        <v>686</v>
      </c>
      <c r="O66" s="27" t="s">
        <v>652</v>
      </c>
      <c r="P66" s="28" t="s">
        <v>33</v>
      </c>
      <c r="Q66" s="29" t="s">
        <v>845</v>
      </c>
      <c r="R66" s="30" t="s">
        <v>71</v>
      </c>
      <c r="S66" s="5" t="s">
        <v>71</v>
      </c>
      <c r="T66" s="29" t="s">
        <v>45</v>
      </c>
      <c r="U66" s="3"/>
      <c r="V66" s="5"/>
      <c r="W66" s="3"/>
    </row>
    <row r="67" spans="1:23" ht="30.75" customHeight="1" x14ac:dyDescent="0.25">
      <c r="A67" s="3" t="s">
        <v>631</v>
      </c>
      <c r="B67" s="3" t="s">
        <v>632</v>
      </c>
      <c r="C67" s="3" t="s">
        <v>798</v>
      </c>
      <c r="D67" s="24" t="s">
        <v>656</v>
      </c>
      <c r="E67" s="25" t="s">
        <v>763</v>
      </c>
      <c r="F67" s="26" t="s">
        <v>764</v>
      </c>
      <c r="G67" s="4" t="s">
        <v>662</v>
      </c>
      <c r="H67" s="5" t="s">
        <v>839</v>
      </c>
      <c r="I67" s="5" t="s">
        <v>996</v>
      </c>
      <c r="J67" s="5" t="s">
        <v>997</v>
      </c>
      <c r="K67" s="5" t="s">
        <v>894</v>
      </c>
      <c r="L67" s="5" t="s">
        <v>998</v>
      </c>
      <c r="M67" s="6" t="s">
        <v>843</v>
      </c>
      <c r="N67" s="120" t="s">
        <v>686</v>
      </c>
      <c r="O67" s="27" t="s">
        <v>652</v>
      </c>
      <c r="P67" s="28" t="s">
        <v>33</v>
      </c>
      <c r="Q67" s="29" t="s">
        <v>845</v>
      </c>
      <c r="R67" s="30" t="s">
        <v>71</v>
      </c>
      <c r="S67" s="5" t="s">
        <v>71</v>
      </c>
      <c r="T67" s="29" t="s">
        <v>45</v>
      </c>
      <c r="U67" s="3"/>
      <c r="V67" s="5"/>
      <c r="W67" s="3"/>
    </row>
    <row r="68" spans="1:23" ht="30.75" customHeight="1" x14ac:dyDescent="0.25">
      <c r="A68" s="3" t="s">
        <v>631</v>
      </c>
      <c r="B68" s="3" t="s">
        <v>632</v>
      </c>
      <c r="C68" s="3" t="s">
        <v>799</v>
      </c>
      <c r="D68" s="24" t="s">
        <v>656</v>
      </c>
      <c r="E68" s="25" t="s">
        <v>763</v>
      </c>
      <c r="F68" s="26" t="s">
        <v>764</v>
      </c>
      <c r="G68" s="4" t="s">
        <v>662</v>
      </c>
      <c r="H68" s="5" t="s">
        <v>839</v>
      </c>
      <c r="I68" s="5" t="s">
        <v>999</v>
      </c>
      <c r="J68" s="5" t="s">
        <v>1000</v>
      </c>
      <c r="K68" s="5" t="s">
        <v>894</v>
      </c>
      <c r="L68" s="5" t="s">
        <v>1001</v>
      </c>
      <c r="M68" s="6" t="s">
        <v>843</v>
      </c>
      <c r="N68" s="120" t="s">
        <v>686</v>
      </c>
      <c r="O68" s="27" t="s">
        <v>652</v>
      </c>
      <c r="P68" s="28" t="s">
        <v>33</v>
      </c>
      <c r="Q68" s="29" t="s">
        <v>845</v>
      </c>
      <c r="R68" s="30" t="s">
        <v>71</v>
      </c>
      <c r="S68" s="5" t="s">
        <v>71</v>
      </c>
      <c r="T68" s="29" t="s">
        <v>45</v>
      </c>
      <c r="U68" s="3"/>
      <c r="V68" s="5"/>
      <c r="W68" s="3"/>
    </row>
    <row r="69" spans="1:23" ht="30.75" customHeight="1" x14ac:dyDescent="0.25">
      <c r="A69" s="3" t="s">
        <v>631</v>
      </c>
      <c r="B69" s="3" t="s">
        <v>634</v>
      </c>
      <c r="C69" s="3" t="s">
        <v>800</v>
      </c>
      <c r="D69" s="24" t="s">
        <v>688</v>
      </c>
      <c r="E69" s="25" t="s">
        <v>647</v>
      </c>
      <c r="F69" s="26" t="s">
        <v>654</v>
      </c>
      <c r="G69" s="4" t="s">
        <v>662</v>
      </c>
      <c r="H69" s="5" t="s">
        <v>198</v>
      </c>
      <c r="I69" s="5" t="s">
        <v>708</v>
      </c>
      <c r="J69" s="5" t="s">
        <v>709</v>
      </c>
      <c r="K69" s="5" t="s">
        <v>655</v>
      </c>
      <c r="L69" s="5" t="s">
        <v>1002</v>
      </c>
      <c r="M69" s="6" t="s">
        <v>843</v>
      </c>
      <c r="N69" s="120" t="s">
        <v>852</v>
      </c>
      <c r="O69" s="27" t="s">
        <v>638</v>
      </c>
      <c r="P69" s="28" t="s">
        <v>71</v>
      </c>
      <c r="Q69" s="29" t="s">
        <v>1003</v>
      </c>
      <c r="R69" s="30" t="s">
        <v>71</v>
      </c>
      <c r="S69" s="5" t="s">
        <v>71</v>
      </c>
      <c r="T69" s="29" t="s">
        <v>45</v>
      </c>
      <c r="U69" s="3"/>
      <c r="V69" s="5"/>
      <c r="W69" s="3"/>
    </row>
    <row r="70" spans="1:23" ht="30.75" customHeight="1" x14ac:dyDescent="0.25">
      <c r="A70" s="3" t="s">
        <v>631</v>
      </c>
      <c r="B70" s="3" t="s">
        <v>634</v>
      </c>
      <c r="C70" s="3" t="s">
        <v>801</v>
      </c>
      <c r="D70" s="24" t="s">
        <v>688</v>
      </c>
      <c r="E70" s="25" t="s">
        <v>646</v>
      </c>
      <c r="F70" s="26" t="s">
        <v>654</v>
      </c>
      <c r="G70" s="4" t="s">
        <v>662</v>
      </c>
      <c r="H70" s="5" t="s">
        <v>198</v>
      </c>
      <c r="I70" s="5" t="s">
        <v>708</v>
      </c>
      <c r="J70" s="5" t="s">
        <v>709</v>
      </c>
      <c r="K70" s="5" t="s">
        <v>655</v>
      </c>
      <c r="L70" s="5" t="s">
        <v>1004</v>
      </c>
      <c r="M70" s="6" t="s">
        <v>843</v>
      </c>
      <c r="N70" s="120" t="s">
        <v>852</v>
      </c>
      <c r="O70" s="27" t="s">
        <v>638</v>
      </c>
      <c r="P70" s="28" t="s">
        <v>71</v>
      </c>
      <c r="Q70" s="29" t="s">
        <v>1003</v>
      </c>
      <c r="R70" s="30" t="s">
        <v>71</v>
      </c>
      <c r="S70" s="5" t="s">
        <v>71</v>
      </c>
      <c r="T70" s="29" t="s">
        <v>45</v>
      </c>
      <c r="U70" s="3"/>
      <c r="V70" s="5"/>
      <c r="W70" s="3"/>
    </row>
    <row r="71" spans="1:23" ht="30.75" customHeight="1" x14ac:dyDescent="0.25">
      <c r="A71" s="3" t="s">
        <v>631</v>
      </c>
      <c r="B71" s="3" t="s">
        <v>634</v>
      </c>
      <c r="C71" s="3" t="s">
        <v>802</v>
      </c>
      <c r="D71" s="24" t="s">
        <v>688</v>
      </c>
      <c r="E71" s="25" t="s">
        <v>649</v>
      </c>
      <c r="F71" s="26" t="s">
        <v>654</v>
      </c>
      <c r="G71" s="4" t="s">
        <v>838</v>
      </c>
      <c r="H71" s="5" t="s">
        <v>198</v>
      </c>
      <c r="I71" s="5" t="s">
        <v>708</v>
      </c>
      <c r="J71" s="5" t="s">
        <v>709</v>
      </c>
      <c r="K71" s="5" t="s">
        <v>655</v>
      </c>
      <c r="L71" s="5" t="s">
        <v>1005</v>
      </c>
      <c r="M71" s="6" t="s">
        <v>843</v>
      </c>
      <c r="N71" s="120" t="s">
        <v>852</v>
      </c>
      <c r="O71" s="27" t="s">
        <v>638</v>
      </c>
      <c r="P71" s="28" t="s">
        <v>71</v>
      </c>
      <c r="Q71" s="29" t="s">
        <v>1003</v>
      </c>
      <c r="R71" s="30" t="s">
        <v>71</v>
      </c>
      <c r="S71" s="5" t="s">
        <v>71</v>
      </c>
      <c r="T71" s="29"/>
      <c r="U71" s="3"/>
      <c r="V71" s="5"/>
      <c r="W71" s="3"/>
    </row>
    <row r="72" spans="1:23" ht="30.75" customHeight="1" x14ac:dyDescent="0.25">
      <c r="A72" s="3" t="s">
        <v>631</v>
      </c>
      <c r="B72" s="3" t="s">
        <v>634</v>
      </c>
      <c r="C72" s="3" t="s">
        <v>803</v>
      </c>
      <c r="D72" s="24" t="s">
        <v>688</v>
      </c>
      <c r="E72" s="25" t="s">
        <v>648</v>
      </c>
      <c r="F72" s="26" t="s">
        <v>654</v>
      </c>
      <c r="G72" s="4" t="s">
        <v>838</v>
      </c>
      <c r="H72" s="5" t="s">
        <v>198</v>
      </c>
      <c r="I72" s="5" t="s">
        <v>708</v>
      </c>
      <c r="J72" s="5" t="s">
        <v>709</v>
      </c>
      <c r="K72" s="5" t="s">
        <v>655</v>
      </c>
      <c r="L72" s="5" t="s">
        <v>1006</v>
      </c>
      <c r="M72" s="6" t="s">
        <v>843</v>
      </c>
      <c r="N72" s="120" t="s">
        <v>852</v>
      </c>
      <c r="O72" s="27" t="s">
        <v>638</v>
      </c>
      <c r="P72" s="28" t="s">
        <v>71</v>
      </c>
      <c r="Q72" s="29" t="s">
        <v>1003</v>
      </c>
      <c r="R72" s="30" t="s">
        <v>71</v>
      </c>
      <c r="S72" s="5" t="s">
        <v>71</v>
      </c>
      <c r="T72" s="29"/>
      <c r="U72" s="3"/>
      <c r="V72" s="5"/>
      <c r="W72" s="3"/>
    </row>
    <row r="73" spans="1:23" ht="30.75" customHeight="1" x14ac:dyDescent="0.25">
      <c r="A73" s="3" t="s">
        <v>631</v>
      </c>
      <c r="B73" s="3" t="s">
        <v>634</v>
      </c>
      <c r="C73" s="3" t="s">
        <v>804</v>
      </c>
      <c r="D73" s="24" t="s">
        <v>688</v>
      </c>
      <c r="E73" s="25" t="s">
        <v>642</v>
      </c>
      <c r="F73" s="26" t="s">
        <v>654</v>
      </c>
      <c r="G73" s="4" t="s">
        <v>838</v>
      </c>
      <c r="H73" s="5" t="s">
        <v>198</v>
      </c>
      <c r="I73" s="5" t="s">
        <v>708</v>
      </c>
      <c r="J73" s="5" t="s">
        <v>709</v>
      </c>
      <c r="K73" s="5" t="s">
        <v>1007</v>
      </c>
      <c r="L73" s="5" t="s">
        <v>1008</v>
      </c>
      <c r="M73" s="6" t="s">
        <v>843</v>
      </c>
      <c r="N73" s="120" t="s">
        <v>852</v>
      </c>
      <c r="O73" s="27" t="s">
        <v>638</v>
      </c>
      <c r="P73" s="28" t="s">
        <v>71</v>
      </c>
      <c r="Q73" s="29" t="s">
        <v>1003</v>
      </c>
      <c r="R73" s="30" t="s">
        <v>71</v>
      </c>
      <c r="S73" s="5" t="s">
        <v>71</v>
      </c>
      <c r="T73" s="29"/>
      <c r="U73" s="3"/>
      <c r="V73" s="5"/>
      <c r="W73" s="3"/>
    </row>
    <row r="74" spans="1:23" ht="30.75" hidden="1" customHeight="1" x14ac:dyDescent="0.25">
      <c r="A74" s="3" t="s">
        <v>631</v>
      </c>
      <c r="B74" s="3" t="s">
        <v>635</v>
      </c>
      <c r="C74" s="3" t="s">
        <v>808</v>
      </c>
      <c r="D74" s="24" t="s">
        <v>71</v>
      </c>
      <c r="E74" s="25" t="s">
        <v>642</v>
      </c>
      <c r="F74" s="5" t="s">
        <v>651</v>
      </c>
      <c r="G74" s="4" t="s">
        <v>838</v>
      </c>
      <c r="H74" s="5" t="s">
        <v>198</v>
      </c>
      <c r="I74" s="5" t="s">
        <v>718</v>
      </c>
      <c r="J74" s="5" t="s">
        <v>719</v>
      </c>
      <c r="K74" s="5" t="s">
        <v>651</v>
      </c>
      <c r="L74" s="5" t="s">
        <v>1020</v>
      </c>
      <c r="M74" s="6" t="s">
        <v>865</v>
      </c>
      <c r="N74" s="120" t="s">
        <v>859</v>
      </c>
      <c r="O74" s="27" t="s">
        <v>712</v>
      </c>
      <c r="P74" s="28" t="s">
        <v>1018</v>
      </c>
      <c r="Q74" s="29" t="s">
        <v>1021</v>
      </c>
      <c r="R74" s="30" t="s">
        <v>71</v>
      </c>
      <c r="S74" s="5" t="s">
        <v>71</v>
      </c>
      <c r="T74" s="29"/>
      <c r="U74" s="3"/>
      <c r="V74" s="5"/>
      <c r="W74" s="3"/>
    </row>
    <row r="75" spans="1:23" ht="30.75" hidden="1" customHeight="1" x14ac:dyDescent="0.25">
      <c r="A75" s="3" t="s">
        <v>631</v>
      </c>
      <c r="B75" s="3" t="s">
        <v>635</v>
      </c>
      <c r="C75" s="3" t="s">
        <v>809</v>
      </c>
      <c r="D75" s="24" t="s">
        <v>71</v>
      </c>
      <c r="E75" s="25" t="s">
        <v>642</v>
      </c>
      <c r="F75" s="5" t="s">
        <v>651</v>
      </c>
      <c r="G75" s="4" t="s">
        <v>838</v>
      </c>
      <c r="H75" s="5" t="s">
        <v>198</v>
      </c>
      <c r="I75" s="5" t="s">
        <v>714</v>
      </c>
      <c r="J75" s="5" t="s">
        <v>715</v>
      </c>
      <c r="K75" s="5" t="s">
        <v>651</v>
      </c>
      <c r="L75" s="5" t="s">
        <v>1022</v>
      </c>
      <c r="M75" s="6" t="s">
        <v>882</v>
      </c>
      <c r="N75" s="120" t="s">
        <v>877</v>
      </c>
      <c r="O75" s="27" t="s">
        <v>712</v>
      </c>
      <c r="P75" s="28" t="s">
        <v>1018</v>
      </c>
      <c r="Q75" s="29" t="s">
        <v>1023</v>
      </c>
      <c r="R75" s="30" t="s">
        <v>71</v>
      </c>
      <c r="S75" s="5" t="s">
        <v>71</v>
      </c>
      <c r="T75" s="29"/>
      <c r="U75" s="3"/>
      <c r="V75" s="5"/>
      <c r="W75" s="3"/>
    </row>
    <row r="76" spans="1:23" ht="30.75" customHeight="1" x14ac:dyDescent="0.25">
      <c r="A76" s="3" t="s">
        <v>631</v>
      </c>
      <c r="B76" s="3" t="s">
        <v>635</v>
      </c>
      <c r="C76" s="3" t="s">
        <v>810</v>
      </c>
      <c r="D76" s="24" t="s">
        <v>71</v>
      </c>
      <c r="E76" s="25" t="s">
        <v>642</v>
      </c>
      <c r="F76" s="5" t="s">
        <v>651</v>
      </c>
      <c r="G76" s="4" t="s">
        <v>838</v>
      </c>
      <c r="H76" s="5" t="s">
        <v>198</v>
      </c>
      <c r="I76" s="5" t="s">
        <v>708</v>
      </c>
      <c r="J76" s="5" t="s">
        <v>709</v>
      </c>
      <c r="K76" s="5" t="s">
        <v>651</v>
      </c>
      <c r="L76" s="5" t="s">
        <v>1008</v>
      </c>
      <c r="M76" s="6" t="s">
        <v>843</v>
      </c>
      <c r="N76" s="120" t="s">
        <v>852</v>
      </c>
      <c r="O76" s="27" t="s">
        <v>712</v>
      </c>
      <c r="P76" s="28" t="s">
        <v>1018</v>
      </c>
      <c r="Q76" s="29" t="s">
        <v>1024</v>
      </c>
      <c r="R76" s="30" t="s">
        <v>71</v>
      </c>
      <c r="S76" s="5" t="s">
        <v>71</v>
      </c>
      <c r="T76" s="29"/>
      <c r="U76" s="3"/>
      <c r="V76" s="5"/>
      <c r="W76" s="3"/>
    </row>
    <row r="77" spans="1:23" ht="30.75" hidden="1" customHeight="1" x14ac:dyDescent="0.25">
      <c r="A77" s="3" t="s">
        <v>631</v>
      </c>
      <c r="B77" s="3" t="s">
        <v>635</v>
      </c>
      <c r="C77" s="3" t="s">
        <v>811</v>
      </c>
      <c r="D77" s="24" t="s">
        <v>71</v>
      </c>
      <c r="E77" s="25" t="s">
        <v>645</v>
      </c>
      <c r="F77" s="5" t="s">
        <v>651</v>
      </c>
      <c r="G77" s="4" t="s">
        <v>838</v>
      </c>
      <c r="H77" s="5" t="s">
        <v>198</v>
      </c>
      <c r="I77" s="5" t="s">
        <v>1025</v>
      </c>
      <c r="J77" s="5" t="s">
        <v>1026</v>
      </c>
      <c r="K77" s="5" t="s">
        <v>651</v>
      </c>
      <c r="L77" s="5" t="s">
        <v>1027</v>
      </c>
      <c r="M77" s="6" t="s">
        <v>858</v>
      </c>
      <c r="N77" s="120" t="s">
        <v>859</v>
      </c>
      <c r="O77" s="27" t="s">
        <v>653</v>
      </c>
      <c r="P77" s="28" t="s">
        <v>1028</v>
      </c>
      <c r="Q77" s="29" t="s">
        <v>1029</v>
      </c>
      <c r="R77" s="30" t="s">
        <v>71</v>
      </c>
      <c r="S77" s="5" t="s">
        <v>71</v>
      </c>
      <c r="T77" s="29"/>
      <c r="U77" s="3"/>
      <c r="V77" s="5"/>
      <c r="W77" s="3"/>
    </row>
    <row r="78" spans="1:23" ht="30.75" hidden="1" customHeight="1" x14ac:dyDescent="0.25">
      <c r="A78" s="3" t="s">
        <v>631</v>
      </c>
      <c r="B78" s="3" t="s">
        <v>635</v>
      </c>
      <c r="C78" s="3" t="s">
        <v>812</v>
      </c>
      <c r="D78" s="24" t="s">
        <v>71</v>
      </c>
      <c r="E78" s="25" t="s">
        <v>645</v>
      </c>
      <c r="F78" s="5" t="s">
        <v>651</v>
      </c>
      <c r="G78" s="4" t="s">
        <v>838</v>
      </c>
      <c r="H78" s="5" t="s">
        <v>198</v>
      </c>
      <c r="I78" s="5" t="s">
        <v>1030</v>
      </c>
      <c r="J78" s="5" t="s">
        <v>1031</v>
      </c>
      <c r="K78" s="5" t="s">
        <v>651</v>
      </c>
      <c r="L78" s="5" t="s">
        <v>1032</v>
      </c>
      <c r="M78" s="6" t="s">
        <v>865</v>
      </c>
      <c r="N78" s="120" t="s">
        <v>866</v>
      </c>
      <c r="O78" s="27" t="s">
        <v>653</v>
      </c>
      <c r="P78" s="28" t="s">
        <v>1028</v>
      </c>
      <c r="Q78" s="29" t="s">
        <v>1033</v>
      </c>
      <c r="R78" s="30" t="s">
        <v>71</v>
      </c>
      <c r="S78" s="5" t="s">
        <v>71</v>
      </c>
      <c r="T78" s="29"/>
      <c r="U78" s="3"/>
      <c r="V78" s="5"/>
      <c r="W78" s="3"/>
    </row>
    <row r="79" spans="1:23" ht="30.75" hidden="1" customHeight="1" x14ac:dyDescent="0.25">
      <c r="A79" s="3" t="s">
        <v>631</v>
      </c>
      <c r="B79" s="3" t="s">
        <v>635</v>
      </c>
      <c r="C79" s="3" t="s">
        <v>722</v>
      </c>
      <c r="D79" s="24" t="s">
        <v>71</v>
      </c>
      <c r="E79" s="25" t="s">
        <v>645</v>
      </c>
      <c r="F79" s="5" t="s">
        <v>651</v>
      </c>
      <c r="G79" s="4" t="s">
        <v>838</v>
      </c>
      <c r="H79" s="5" t="s">
        <v>198</v>
      </c>
      <c r="I79" s="5" t="s">
        <v>723</v>
      </c>
      <c r="J79" s="5" t="s">
        <v>724</v>
      </c>
      <c r="K79" s="5" t="s">
        <v>651</v>
      </c>
      <c r="L79" s="5" t="s">
        <v>725</v>
      </c>
      <c r="M79" s="6" t="s">
        <v>876</v>
      </c>
      <c r="N79" s="120" t="s">
        <v>877</v>
      </c>
      <c r="O79" s="27" t="s">
        <v>653</v>
      </c>
      <c r="P79" s="28" t="s">
        <v>726</v>
      </c>
      <c r="Q79" s="29" t="s">
        <v>1039</v>
      </c>
      <c r="R79" s="30" t="s">
        <v>71</v>
      </c>
      <c r="S79" s="5" t="s">
        <v>71</v>
      </c>
      <c r="T79" s="29"/>
      <c r="U79" s="3"/>
      <c r="V79" s="5"/>
      <c r="W79" s="3"/>
    </row>
    <row r="80" spans="1:23" ht="30.75" hidden="1" customHeight="1" x14ac:dyDescent="0.25">
      <c r="A80" s="3" t="s">
        <v>631</v>
      </c>
      <c r="B80" s="3" t="s">
        <v>635</v>
      </c>
      <c r="C80" s="3" t="s">
        <v>817</v>
      </c>
      <c r="D80" s="24" t="s">
        <v>71</v>
      </c>
      <c r="E80" s="25" t="s">
        <v>647</v>
      </c>
      <c r="F80" s="5" t="s">
        <v>651</v>
      </c>
      <c r="G80" s="4" t="s">
        <v>838</v>
      </c>
      <c r="H80" s="5" t="s">
        <v>228</v>
      </c>
      <c r="I80" s="5" t="s">
        <v>723</v>
      </c>
      <c r="J80" s="5" t="s">
        <v>1034</v>
      </c>
      <c r="K80" s="5" t="s">
        <v>651</v>
      </c>
      <c r="L80" s="5" t="s">
        <v>1036</v>
      </c>
      <c r="M80" s="6" t="s">
        <v>1040</v>
      </c>
      <c r="N80" s="120" t="s">
        <v>1041</v>
      </c>
      <c r="O80" s="27" t="s">
        <v>711</v>
      </c>
      <c r="P80" s="28" t="s">
        <v>1042</v>
      </c>
      <c r="Q80" s="29" t="s">
        <v>1043</v>
      </c>
      <c r="R80" s="30" t="s">
        <v>71</v>
      </c>
      <c r="S80" s="5" t="s">
        <v>71</v>
      </c>
      <c r="T80" s="29"/>
      <c r="U80" s="3"/>
      <c r="V80" s="5"/>
      <c r="W80" s="3"/>
    </row>
    <row r="81" spans="1:23" ht="30.75" hidden="1" customHeight="1" x14ac:dyDescent="0.25">
      <c r="A81" s="3" t="s">
        <v>631</v>
      </c>
      <c r="B81" s="3" t="s">
        <v>635</v>
      </c>
      <c r="C81" s="3" t="s">
        <v>717</v>
      </c>
      <c r="D81" s="24" t="s">
        <v>71</v>
      </c>
      <c r="E81" s="25" t="s">
        <v>645</v>
      </c>
      <c r="F81" s="5" t="s">
        <v>651</v>
      </c>
      <c r="G81" s="4" t="s">
        <v>838</v>
      </c>
      <c r="H81" s="5" t="s">
        <v>198</v>
      </c>
      <c r="I81" s="5" t="s">
        <v>718</v>
      </c>
      <c r="J81" s="5" t="s">
        <v>719</v>
      </c>
      <c r="K81" s="5" t="s">
        <v>651</v>
      </c>
      <c r="L81" s="5" t="s">
        <v>720</v>
      </c>
      <c r="M81" s="6" t="s">
        <v>882</v>
      </c>
      <c r="N81" s="120" t="s">
        <v>883</v>
      </c>
      <c r="O81" s="27" t="s">
        <v>721</v>
      </c>
      <c r="P81" s="28" t="s">
        <v>713</v>
      </c>
      <c r="Q81" s="29" t="s">
        <v>1044</v>
      </c>
      <c r="R81" s="30" t="s">
        <v>71</v>
      </c>
      <c r="S81" s="5" t="s">
        <v>71</v>
      </c>
      <c r="T81" s="29"/>
      <c r="U81" s="3"/>
      <c r="V81" s="5"/>
      <c r="W81" s="3"/>
    </row>
    <row r="82" spans="1:23" ht="30.75" customHeight="1" x14ac:dyDescent="0.25">
      <c r="A82" s="3" t="s">
        <v>631</v>
      </c>
      <c r="B82" s="3" t="s">
        <v>632</v>
      </c>
      <c r="C82" s="3" t="s">
        <v>745</v>
      </c>
      <c r="D82" s="24" t="s">
        <v>71</v>
      </c>
      <c r="E82" s="25" t="s">
        <v>746</v>
      </c>
      <c r="F82" s="5" t="s">
        <v>685</v>
      </c>
      <c r="G82" s="4" t="s">
        <v>838</v>
      </c>
      <c r="H82" s="5" t="s">
        <v>228</v>
      </c>
      <c r="I82" s="5" t="s">
        <v>872</v>
      </c>
      <c r="J82" s="5" t="s">
        <v>228</v>
      </c>
      <c r="K82" s="5" t="s">
        <v>685</v>
      </c>
      <c r="L82" s="5" t="s">
        <v>873</v>
      </c>
      <c r="M82" s="6" t="s">
        <v>843</v>
      </c>
      <c r="N82" s="120" t="s">
        <v>874</v>
      </c>
      <c r="O82" s="27" t="s">
        <v>687</v>
      </c>
      <c r="P82" s="28" t="s">
        <v>875</v>
      </c>
      <c r="Q82" s="29" t="s">
        <v>71</v>
      </c>
      <c r="R82" s="30" t="s">
        <v>71</v>
      </c>
      <c r="S82" s="5" t="s">
        <v>71</v>
      </c>
      <c r="T82" s="29" t="s">
        <v>45</v>
      </c>
      <c r="U82" s="3"/>
      <c r="V82" s="5"/>
      <c r="W82" s="3"/>
    </row>
    <row r="83" spans="1:23" ht="30.75" hidden="1" customHeight="1" x14ac:dyDescent="0.25">
      <c r="A83" s="3" t="s">
        <v>631</v>
      </c>
      <c r="B83" s="3" t="s">
        <v>635</v>
      </c>
      <c r="C83" s="3" t="s">
        <v>818</v>
      </c>
      <c r="D83" s="24" t="s">
        <v>71</v>
      </c>
      <c r="E83" s="25" t="s">
        <v>647</v>
      </c>
      <c r="F83" s="5" t="s">
        <v>1035</v>
      </c>
      <c r="G83" s="4" t="s">
        <v>838</v>
      </c>
      <c r="H83" s="5" t="s">
        <v>228</v>
      </c>
      <c r="I83" s="5" t="s">
        <v>723</v>
      </c>
      <c r="J83" s="5" t="s">
        <v>1034</v>
      </c>
      <c r="K83" s="5" t="s">
        <v>1035</v>
      </c>
      <c r="L83" s="5" t="s">
        <v>1036</v>
      </c>
      <c r="M83" s="6" t="s">
        <v>1040</v>
      </c>
      <c r="N83" s="120" t="s">
        <v>1041</v>
      </c>
      <c r="O83" s="27" t="s">
        <v>711</v>
      </c>
      <c r="P83" s="28" t="s">
        <v>1045</v>
      </c>
      <c r="Q83" s="29" t="s">
        <v>1043</v>
      </c>
      <c r="R83" s="30" t="s">
        <v>71</v>
      </c>
      <c r="S83" s="5" t="s">
        <v>71</v>
      </c>
      <c r="T83" s="29"/>
      <c r="U83" s="3"/>
      <c r="V83" s="5"/>
      <c r="W83" s="3"/>
    </row>
    <row r="84" spans="1:23" ht="30.75" hidden="1" customHeight="1" x14ac:dyDescent="0.25">
      <c r="A84" s="3" t="s">
        <v>631</v>
      </c>
      <c r="B84" s="3" t="s">
        <v>635</v>
      </c>
      <c r="C84" s="3" t="s">
        <v>813</v>
      </c>
      <c r="D84" s="24" t="s">
        <v>71</v>
      </c>
      <c r="E84" s="25" t="s">
        <v>645</v>
      </c>
      <c r="F84" s="28" t="s">
        <v>1037</v>
      </c>
      <c r="G84" s="4" t="s">
        <v>838</v>
      </c>
      <c r="H84" s="5" t="s">
        <v>198</v>
      </c>
      <c r="I84" s="5" t="s">
        <v>723</v>
      </c>
      <c r="J84" s="5" t="s">
        <v>724</v>
      </c>
      <c r="K84" s="5" t="s">
        <v>657</v>
      </c>
      <c r="L84" s="5" t="s">
        <v>725</v>
      </c>
      <c r="M84" s="6" t="s">
        <v>868</v>
      </c>
      <c r="N84" s="120" t="s">
        <v>1017</v>
      </c>
      <c r="O84" s="27" t="s">
        <v>712</v>
      </c>
      <c r="P84" s="28" t="s">
        <v>1037</v>
      </c>
      <c r="Q84" s="29" t="s">
        <v>1019</v>
      </c>
      <c r="R84" s="30" t="s">
        <v>1038</v>
      </c>
      <c r="S84" s="5" t="s">
        <v>690</v>
      </c>
      <c r="T84" s="29"/>
      <c r="U84" s="3"/>
      <c r="V84" s="5"/>
      <c r="W84" s="3"/>
    </row>
    <row r="85" spans="1:23" ht="30.75" hidden="1" customHeight="1" x14ac:dyDescent="0.25">
      <c r="A85" s="3" t="s">
        <v>631</v>
      </c>
      <c r="B85" s="3" t="s">
        <v>635</v>
      </c>
      <c r="C85" s="3" t="s">
        <v>814</v>
      </c>
      <c r="D85" s="24" t="s">
        <v>71</v>
      </c>
      <c r="E85" s="25" t="s">
        <v>645</v>
      </c>
      <c r="F85" s="28" t="s">
        <v>1037</v>
      </c>
      <c r="G85" s="4" t="s">
        <v>838</v>
      </c>
      <c r="H85" s="5" t="s">
        <v>198</v>
      </c>
      <c r="I85" s="5" t="s">
        <v>714</v>
      </c>
      <c r="J85" s="5" t="s">
        <v>715</v>
      </c>
      <c r="K85" s="5" t="s">
        <v>657</v>
      </c>
      <c r="L85" s="5" t="s">
        <v>716</v>
      </c>
      <c r="M85" s="6" t="s">
        <v>882</v>
      </c>
      <c r="N85" s="120" t="s">
        <v>877</v>
      </c>
      <c r="O85" s="27" t="s">
        <v>712</v>
      </c>
      <c r="P85" s="28" t="s">
        <v>1037</v>
      </c>
      <c r="Q85" s="29" t="s">
        <v>1023</v>
      </c>
      <c r="R85" s="30" t="s">
        <v>1038</v>
      </c>
      <c r="S85" s="5" t="s">
        <v>690</v>
      </c>
      <c r="T85" s="29"/>
      <c r="U85" s="3"/>
      <c r="V85" s="5"/>
      <c r="W85" s="3"/>
    </row>
    <row r="86" spans="1:23" ht="30.75" hidden="1" customHeight="1" x14ac:dyDescent="0.25">
      <c r="A86" s="3" t="s">
        <v>631</v>
      </c>
      <c r="B86" s="3" t="s">
        <v>635</v>
      </c>
      <c r="C86" s="3" t="s">
        <v>815</v>
      </c>
      <c r="D86" s="24" t="s">
        <v>71</v>
      </c>
      <c r="E86" s="25" t="s">
        <v>645</v>
      </c>
      <c r="F86" s="28" t="s">
        <v>1037</v>
      </c>
      <c r="G86" s="4" t="s">
        <v>838</v>
      </c>
      <c r="H86" s="5" t="s">
        <v>198</v>
      </c>
      <c r="I86" s="5" t="s">
        <v>718</v>
      </c>
      <c r="J86" s="5" t="s">
        <v>719</v>
      </c>
      <c r="K86" s="5" t="s">
        <v>657</v>
      </c>
      <c r="L86" s="5" t="s">
        <v>720</v>
      </c>
      <c r="M86" s="6" t="s">
        <v>865</v>
      </c>
      <c r="N86" s="120" t="s">
        <v>859</v>
      </c>
      <c r="O86" s="27" t="s">
        <v>712</v>
      </c>
      <c r="P86" s="28" t="s">
        <v>1037</v>
      </c>
      <c r="Q86" s="29" t="s">
        <v>1021</v>
      </c>
      <c r="R86" s="30" t="s">
        <v>1038</v>
      </c>
      <c r="S86" s="5" t="s">
        <v>690</v>
      </c>
      <c r="T86" s="29"/>
      <c r="U86" s="3"/>
      <c r="V86" s="5"/>
      <c r="W86" s="3"/>
    </row>
    <row r="87" spans="1:23" ht="30.75" customHeight="1" x14ac:dyDescent="0.25">
      <c r="A87" s="3" t="s">
        <v>631</v>
      </c>
      <c r="B87" s="3" t="s">
        <v>635</v>
      </c>
      <c r="C87" s="3" t="s">
        <v>816</v>
      </c>
      <c r="D87" s="24" t="s">
        <v>71</v>
      </c>
      <c r="E87" s="25" t="s">
        <v>645</v>
      </c>
      <c r="F87" s="28" t="s">
        <v>1037</v>
      </c>
      <c r="G87" s="4" t="s">
        <v>838</v>
      </c>
      <c r="H87" s="5" t="s">
        <v>198</v>
      </c>
      <c r="I87" s="5" t="s">
        <v>708</v>
      </c>
      <c r="J87" s="5" t="s">
        <v>709</v>
      </c>
      <c r="K87" s="5" t="s">
        <v>657</v>
      </c>
      <c r="L87" s="5" t="s">
        <v>710</v>
      </c>
      <c r="M87" s="6" t="s">
        <v>843</v>
      </c>
      <c r="N87" s="120" t="s">
        <v>852</v>
      </c>
      <c r="O87" s="27" t="s">
        <v>712</v>
      </c>
      <c r="P87" s="28" t="s">
        <v>1037</v>
      </c>
      <c r="Q87" s="29" t="s">
        <v>1024</v>
      </c>
      <c r="R87" s="30" t="s">
        <v>1038</v>
      </c>
      <c r="S87" s="5" t="s">
        <v>690</v>
      </c>
      <c r="T87" s="29"/>
      <c r="U87" s="3"/>
      <c r="V87" s="5"/>
      <c r="W87" s="3"/>
    </row>
    <row r="88" spans="1:23" ht="30.75" customHeight="1" x14ac:dyDescent="0.25">
      <c r="A88" s="3" t="s">
        <v>631</v>
      </c>
      <c r="B88" s="3" t="s">
        <v>635</v>
      </c>
      <c r="C88" s="3" t="s">
        <v>805</v>
      </c>
      <c r="D88" s="24" t="s">
        <v>71</v>
      </c>
      <c r="E88" s="25" t="s">
        <v>806</v>
      </c>
      <c r="F88" s="5" t="s">
        <v>1011</v>
      </c>
      <c r="G88" s="4" t="s">
        <v>838</v>
      </c>
      <c r="H88" s="5" t="s">
        <v>1009</v>
      </c>
      <c r="I88" s="5" t="s">
        <v>1010</v>
      </c>
      <c r="J88" s="5" t="s">
        <v>71</v>
      </c>
      <c r="K88" s="5" t="s">
        <v>1011</v>
      </c>
      <c r="L88" s="5" t="s">
        <v>1012</v>
      </c>
      <c r="M88" s="6" t="s">
        <v>843</v>
      </c>
      <c r="N88" s="120" t="s">
        <v>1013</v>
      </c>
      <c r="O88" s="27" t="s">
        <v>1014</v>
      </c>
      <c r="P88" s="28" t="s">
        <v>1015</v>
      </c>
      <c r="Q88" s="29" t="s">
        <v>71</v>
      </c>
      <c r="R88" s="30" t="s">
        <v>71</v>
      </c>
      <c r="S88" s="5" t="s">
        <v>71</v>
      </c>
      <c r="T88" s="29"/>
      <c r="U88" s="3"/>
      <c r="V88" s="5"/>
      <c r="W88" s="3"/>
    </row>
    <row r="89" spans="1:23" ht="30.75" hidden="1" customHeight="1" x14ac:dyDescent="0.25">
      <c r="A89" s="3" t="s">
        <v>631</v>
      </c>
      <c r="B89" s="3" t="s">
        <v>635</v>
      </c>
      <c r="C89" s="3" t="s">
        <v>819</v>
      </c>
      <c r="D89" s="24" t="s">
        <v>820</v>
      </c>
      <c r="E89" s="25" t="s">
        <v>645</v>
      </c>
      <c r="F89" s="26" t="s">
        <v>636</v>
      </c>
      <c r="G89" s="4" t="s">
        <v>838</v>
      </c>
      <c r="H89" s="5" t="s">
        <v>198</v>
      </c>
      <c r="I89" s="5" t="s">
        <v>1025</v>
      </c>
      <c r="J89" s="5" t="s">
        <v>1058</v>
      </c>
      <c r="K89" s="5" t="s">
        <v>639</v>
      </c>
      <c r="L89" s="5" t="s">
        <v>1027</v>
      </c>
      <c r="M89" s="6" t="s">
        <v>858</v>
      </c>
      <c r="N89" s="120" t="s">
        <v>859</v>
      </c>
      <c r="O89" s="27" t="s">
        <v>653</v>
      </c>
      <c r="P89" s="28" t="s">
        <v>71</v>
      </c>
      <c r="Q89" s="29" t="s">
        <v>1029</v>
      </c>
      <c r="R89" s="30" t="s">
        <v>728</v>
      </c>
      <c r="S89" s="5" t="s">
        <v>641</v>
      </c>
      <c r="T89" s="29"/>
      <c r="U89" s="3"/>
      <c r="V89" s="5"/>
      <c r="W89" s="3"/>
    </row>
    <row r="90" spans="1:23" ht="30.75" hidden="1" customHeight="1" x14ac:dyDescent="0.25">
      <c r="A90" s="3" t="s">
        <v>631</v>
      </c>
      <c r="B90" s="3" t="s">
        <v>635</v>
      </c>
      <c r="C90" s="3" t="s">
        <v>821</v>
      </c>
      <c r="D90" s="24" t="s">
        <v>757</v>
      </c>
      <c r="E90" s="25" t="s">
        <v>645</v>
      </c>
      <c r="F90" s="26" t="s">
        <v>636</v>
      </c>
      <c r="G90" s="4" t="s">
        <v>838</v>
      </c>
      <c r="H90" s="5" t="s">
        <v>198</v>
      </c>
      <c r="I90" s="5" t="s">
        <v>1030</v>
      </c>
      <c r="J90" s="5" t="s">
        <v>1059</v>
      </c>
      <c r="K90" s="5" t="s">
        <v>639</v>
      </c>
      <c r="L90" s="5" t="s">
        <v>1032</v>
      </c>
      <c r="M90" s="6" t="s">
        <v>865</v>
      </c>
      <c r="N90" s="120" t="s">
        <v>866</v>
      </c>
      <c r="O90" s="27" t="s">
        <v>653</v>
      </c>
      <c r="P90" s="28" t="s">
        <v>71</v>
      </c>
      <c r="Q90" s="29" t="s">
        <v>1033</v>
      </c>
      <c r="R90" s="30" t="s">
        <v>728</v>
      </c>
      <c r="S90" s="5" t="s">
        <v>641</v>
      </c>
      <c r="T90" s="29"/>
      <c r="U90" s="3"/>
      <c r="V90" s="5"/>
      <c r="W90" s="3"/>
    </row>
    <row r="91" spans="1:23" ht="30.75" hidden="1" customHeight="1" x14ac:dyDescent="0.25">
      <c r="A91" s="3" t="s">
        <v>631</v>
      </c>
      <c r="B91" s="3" t="s">
        <v>635</v>
      </c>
      <c r="C91" s="3" t="s">
        <v>732</v>
      </c>
      <c r="D91" s="24" t="s">
        <v>733</v>
      </c>
      <c r="E91" s="25" t="s">
        <v>645</v>
      </c>
      <c r="F91" s="26" t="s">
        <v>636</v>
      </c>
      <c r="G91" s="4" t="s">
        <v>838</v>
      </c>
      <c r="H91" s="5" t="s">
        <v>198</v>
      </c>
      <c r="I91" s="5" t="s">
        <v>723</v>
      </c>
      <c r="J91" s="5" t="s">
        <v>734</v>
      </c>
      <c r="K91" s="5" t="s">
        <v>639</v>
      </c>
      <c r="L91" s="5" t="s">
        <v>725</v>
      </c>
      <c r="M91" s="6" t="s">
        <v>876</v>
      </c>
      <c r="N91" s="120" t="s">
        <v>877</v>
      </c>
      <c r="O91" s="27" t="s">
        <v>653</v>
      </c>
      <c r="P91" s="28" t="s">
        <v>71</v>
      </c>
      <c r="Q91" s="29" t="s">
        <v>1039</v>
      </c>
      <c r="R91" s="30" t="s">
        <v>728</v>
      </c>
      <c r="S91" s="5" t="s">
        <v>641</v>
      </c>
      <c r="T91" s="29"/>
      <c r="U91" s="3"/>
      <c r="V91" s="5"/>
      <c r="W91" s="3"/>
    </row>
    <row r="92" spans="1:23" ht="30.75" hidden="1" customHeight="1" x14ac:dyDescent="0.25">
      <c r="A92" s="3" t="s">
        <v>631</v>
      </c>
      <c r="B92" s="3" t="s">
        <v>635</v>
      </c>
      <c r="C92" s="3" t="s">
        <v>822</v>
      </c>
      <c r="D92" s="24" t="s">
        <v>733</v>
      </c>
      <c r="E92" s="25" t="s">
        <v>646</v>
      </c>
      <c r="F92" s="26" t="s">
        <v>636</v>
      </c>
      <c r="G92" s="4" t="s">
        <v>838</v>
      </c>
      <c r="H92" s="5" t="s">
        <v>198</v>
      </c>
      <c r="I92" s="5" t="s">
        <v>723</v>
      </c>
      <c r="J92" s="5" t="s">
        <v>724</v>
      </c>
      <c r="K92" s="5" t="s">
        <v>639</v>
      </c>
      <c r="L92" s="5" t="s">
        <v>1046</v>
      </c>
      <c r="M92" s="6" t="s">
        <v>868</v>
      </c>
      <c r="N92" s="120" t="s">
        <v>1017</v>
      </c>
      <c r="O92" s="27" t="s">
        <v>712</v>
      </c>
      <c r="P92" s="28" t="s">
        <v>71</v>
      </c>
      <c r="Q92" s="29" t="s">
        <v>1019</v>
      </c>
      <c r="R92" s="30" t="s">
        <v>728</v>
      </c>
      <c r="S92" s="5" t="s">
        <v>641</v>
      </c>
      <c r="T92" s="29"/>
      <c r="U92" s="3"/>
      <c r="V92" s="5"/>
      <c r="W92" s="3"/>
    </row>
    <row r="93" spans="1:23" ht="30.75" hidden="1" customHeight="1" x14ac:dyDescent="0.25">
      <c r="A93" s="3" t="s">
        <v>631</v>
      </c>
      <c r="B93" s="3" t="s">
        <v>635</v>
      </c>
      <c r="C93" s="3" t="s">
        <v>823</v>
      </c>
      <c r="D93" s="24" t="s">
        <v>733</v>
      </c>
      <c r="E93" s="25" t="s">
        <v>647</v>
      </c>
      <c r="F93" s="26" t="s">
        <v>636</v>
      </c>
      <c r="G93" s="4" t="s">
        <v>838</v>
      </c>
      <c r="H93" s="5" t="s">
        <v>198</v>
      </c>
      <c r="I93" s="5" t="s">
        <v>723</v>
      </c>
      <c r="J93" s="5" t="s">
        <v>724</v>
      </c>
      <c r="K93" s="5" t="s">
        <v>639</v>
      </c>
      <c r="L93" s="5" t="s">
        <v>1047</v>
      </c>
      <c r="M93" s="6" t="s">
        <v>868</v>
      </c>
      <c r="N93" s="120" t="s">
        <v>1017</v>
      </c>
      <c r="O93" s="27" t="s">
        <v>712</v>
      </c>
      <c r="P93" s="28" t="s">
        <v>71</v>
      </c>
      <c r="Q93" s="29" t="s">
        <v>1019</v>
      </c>
      <c r="R93" s="30" t="s">
        <v>728</v>
      </c>
      <c r="S93" s="5" t="s">
        <v>641</v>
      </c>
      <c r="T93" s="29"/>
      <c r="U93" s="3"/>
      <c r="V93" s="5"/>
      <c r="W93" s="3"/>
    </row>
    <row r="94" spans="1:23" ht="30.75" hidden="1" customHeight="1" x14ac:dyDescent="0.25">
      <c r="A94" s="3" t="s">
        <v>631</v>
      </c>
      <c r="B94" s="3" t="s">
        <v>635</v>
      </c>
      <c r="C94" s="3" t="s">
        <v>824</v>
      </c>
      <c r="D94" s="24" t="s">
        <v>733</v>
      </c>
      <c r="E94" s="25" t="s">
        <v>648</v>
      </c>
      <c r="F94" s="26" t="s">
        <v>636</v>
      </c>
      <c r="G94" s="4" t="s">
        <v>838</v>
      </c>
      <c r="H94" s="5" t="s">
        <v>198</v>
      </c>
      <c r="I94" s="5" t="s">
        <v>723</v>
      </c>
      <c r="J94" s="5" t="s">
        <v>724</v>
      </c>
      <c r="K94" s="5" t="s">
        <v>639</v>
      </c>
      <c r="L94" s="5" t="s">
        <v>1048</v>
      </c>
      <c r="M94" s="6" t="s">
        <v>868</v>
      </c>
      <c r="N94" s="120" t="s">
        <v>1017</v>
      </c>
      <c r="O94" s="27" t="s">
        <v>712</v>
      </c>
      <c r="P94" s="28" t="s">
        <v>71</v>
      </c>
      <c r="Q94" s="29" t="s">
        <v>1019</v>
      </c>
      <c r="R94" s="30" t="s">
        <v>728</v>
      </c>
      <c r="S94" s="5" t="s">
        <v>641</v>
      </c>
      <c r="T94" s="29"/>
      <c r="U94" s="3"/>
      <c r="V94" s="5"/>
      <c r="W94" s="3"/>
    </row>
    <row r="95" spans="1:23" ht="30.75" hidden="1" customHeight="1" x14ac:dyDescent="0.25">
      <c r="A95" s="3" t="s">
        <v>631</v>
      </c>
      <c r="B95" s="3" t="s">
        <v>635</v>
      </c>
      <c r="C95" s="3" t="s">
        <v>825</v>
      </c>
      <c r="D95" s="24" t="s">
        <v>733</v>
      </c>
      <c r="E95" s="25" t="s">
        <v>649</v>
      </c>
      <c r="F95" s="26" t="s">
        <v>636</v>
      </c>
      <c r="G95" s="4" t="s">
        <v>838</v>
      </c>
      <c r="H95" s="5" t="s">
        <v>198</v>
      </c>
      <c r="I95" s="5" t="s">
        <v>723</v>
      </c>
      <c r="J95" s="5" t="s">
        <v>724</v>
      </c>
      <c r="K95" s="5" t="s">
        <v>639</v>
      </c>
      <c r="L95" s="5" t="s">
        <v>1049</v>
      </c>
      <c r="M95" s="6" t="s">
        <v>868</v>
      </c>
      <c r="N95" s="120" t="s">
        <v>1017</v>
      </c>
      <c r="O95" s="27" t="s">
        <v>712</v>
      </c>
      <c r="P95" s="28" t="s">
        <v>71</v>
      </c>
      <c r="Q95" s="29" t="s">
        <v>1019</v>
      </c>
      <c r="R95" s="30" t="s">
        <v>728</v>
      </c>
      <c r="S95" s="5" t="s">
        <v>641</v>
      </c>
      <c r="T95" s="29"/>
      <c r="U95" s="3"/>
      <c r="V95" s="5"/>
      <c r="W95" s="3"/>
    </row>
    <row r="96" spans="1:23" ht="30.75" hidden="1" customHeight="1" x14ac:dyDescent="0.25">
      <c r="A96" s="3" t="s">
        <v>631</v>
      </c>
      <c r="B96" s="3" t="s">
        <v>635</v>
      </c>
      <c r="C96" s="3" t="s">
        <v>730</v>
      </c>
      <c r="D96" s="24" t="s">
        <v>731</v>
      </c>
      <c r="E96" s="25" t="s">
        <v>645</v>
      </c>
      <c r="F96" s="26" t="s">
        <v>636</v>
      </c>
      <c r="G96" s="4" t="s">
        <v>838</v>
      </c>
      <c r="H96" s="5" t="s">
        <v>198</v>
      </c>
      <c r="I96" s="5" t="s">
        <v>718</v>
      </c>
      <c r="J96" s="5" t="s">
        <v>1060</v>
      </c>
      <c r="K96" s="5" t="s">
        <v>639</v>
      </c>
      <c r="L96" s="5" t="s">
        <v>720</v>
      </c>
      <c r="M96" s="6" t="s">
        <v>882</v>
      </c>
      <c r="N96" s="120" t="s">
        <v>883</v>
      </c>
      <c r="O96" s="27" t="s">
        <v>721</v>
      </c>
      <c r="P96" s="28" t="s">
        <v>71</v>
      </c>
      <c r="Q96" s="29" t="s">
        <v>1044</v>
      </c>
      <c r="R96" s="30" t="s">
        <v>728</v>
      </c>
      <c r="S96" s="5" t="s">
        <v>641</v>
      </c>
      <c r="T96" s="29"/>
      <c r="U96" s="3"/>
      <c r="V96" s="5"/>
      <c r="W96" s="3"/>
    </row>
    <row r="97" spans="1:23" ht="30.75" hidden="1" customHeight="1" x14ac:dyDescent="0.25">
      <c r="A97" s="3" t="s">
        <v>631</v>
      </c>
      <c r="B97" s="3" t="s">
        <v>635</v>
      </c>
      <c r="C97" s="3" t="s">
        <v>826</v>
      </c>
      <c r="D97" s="24" t="s">
        <v>731</v>
      </c>
      <c r="E97" s="25" t="s">
        <v>648</v>
      </c>
      <c r="F97" s="26" t="s">
        <v>636</v>
      </c>
      <c r="G97" s="4" t="s">
        <v>838</v>
      </c>
      <c r="H97" s="5" t="s">
        <v>198</v>
      </c>
      <c r="I97" s="5" t="s">
        <v>718</v>
      </c>
      <c r="J97" s="5" t="s">
        <v>719</v>
      </c>
      <c r="K97" s="5" t="s">
        <v>639</v>
      </c>
      <c r="L97" s="5" t="s">
        <v>1050</v>
      </c>
      <c r="M97" s="6" t="s">
        <v>865</v>
      </c>
      <c r="N97" s="120" t="s">
        <v>859</v>
      </c>
      <c r="O97" s="27" t="s">
        <v>712</v>
      </c>
      <c r="P97" s="28" t="s">
        <v>71</v>
      </c>
      <c r="Q97" s="29" t="s">
        <v>1021</v>
      </c>
      <c r="R97" s="30" t="s">
        <v>728</v>
      </c>
      <c r="S97" s="5" t="s">
        <v>641</v>
      </c>
      <c r="T97" s="29"/>
      <c r="U97" s="3"/>
      <c r="V97" s="5"/>
      <c r="W97" s="3"/>
    </row>
    <row r="98" spans="1:23" ht="30.75" hidden="1" customHeight="1" x14ac:dyDescent="0.25">
      <c r="A98" s="3" t="s">
        <v>631</v>
      </c>
      <c r="B98" s="3" t="s">
        <v>635</v>
      </c>
      <c r="C98" s="3" t="s">
        <v>827</v>
      </c>
      <c r="D98" s="24" t="s">
        <v>731</v>
      </c>
      <c r="E98" s="25" t="s">
        <v>647</v>
      </c>
      <c r="F98" s="26" t="s">
        <v>636</v>
      </c>
      <c r="G98" s="4" t="s">
        <v>838</v>
      </c>
      <c r="H98" s="5" t="s">
        <v>198</v>
      </c>
      <c r="I98" s="5" t="s">
        <v>718</v>
      </c>
      <c r="J98" s="5" t="s">
        <v>719</v>
      </c>
      <c r="K98" s="5" t="s">
        <v>639</v>
      </c>
      <c r="L98" s="5" t="s">
        <v>1051</v>
      </c>
      <c r="M98" s="6" t="s">
        <v>865</v>
      </c>
      <c r="N98" s="120" t="s">
        <v>859</v>
      </c>
      <c r="O98" s="27" t="s">
        <v>712</v>
      </c>
      <c r="P98" s="28" t="s">
        <v>71</v>
      </c>
      <c r="Q98" s="29" t="s">
        <v>1021</v>
      </c>
      <c r="R98" s="30" t="s">
        <v>728</v>
      </c>
      <c r="S98" s="5" t="s">
        <v>641</v>
      </c>
      <c r="T98" s="29"/>
      <c r="U98" s="3"/>
      <c r="V98" s="5"/>
      <c r="W98" s="3"/>
    </row>
    <row r="99" spans="1:23" ht="30.75" hidden="1" customHeight="1" x14ac:dyDescent="0.25">
      <c r="A99" s="3" t="s">
        <v>631</v>
      </c>
      <c r="B99" s="3" t="s">
        <v>635</v>
      </c>
      <c r="C99" s="3" t="s">
        <v>828</v>
      </c>
      <c r="D99" s="24" t="s">
        <v>731</v>
      </c>
      <c r="E99" s="25" t="s">
        <v>646</v>
      </c>
      <c r="F99" s="26" t="s">
        <v>636</v>
      </c>
      <c r="G99" s="4" t="s">
        <v>838</v>
      </c>
      <c r="H99" s="5" t="s">
        <v>198</v>
      </c>
      <c r="I99" s="5" t="s">
        <v>718</v>
      </c>
      <c r="J99" s="5" t="s">
        <v>719</v>
      </c>
      <c r="K99" s="5" t="s">
        <v>639</v>
      </c>
      <c r="L99" s="5" t="s">
        <v>1052</v>
      </c>
      <c r="M99" s="6" t="s">
        <v>865</v>
      </c>
      <c r="N99" s="120" t="s">
        <v>859</v>
      </c>
      <c r="O99" s="27" t="s">
        <v>712</v>
      </c>
      <c r="P99" s="28" t="s">
        <v>71</v>
      </c>
      <c r="Q99" s="29" t="s">
        <v>1021</v>
      </c>
      <c r="R99" s="30" t="s">
        <v>728</v>
      </c>
      <c r="S99" s="5" t="s">
        <v>641</v>
      </c>
      <c r="T99" s="29"/>
      <c r="U99" s="3"/>
      <c r="V99" s="5"/>
      <c r="W99" s="3"/>
    </row>
    <row r="100" spans="1:23" ht="30.75" hidden="1" customHeight="1" x14ac:dyDescent="0.25">
      <c r="A100" s="3" t="s">
        <v>631</v>
      </c>
      <c r="B100" s="3" t="s">
        <v>635</v>
      </c>
      <c r="C100" s="3" t="s">
        <v>829</v>
      </c>
      <c r="D100" s="24" t="s">
        <v>731</v>
      </c>
      <c r="E100" s="25" t="s">
        <v>649</v>
      </c>
      <c r="F100" s="26" t="s">
        <v>636</v>
      </c>
      <c r="G100" s="4" t="s">
        <v>838</v>
      </c>
      <c r="H100" s="5" t="s">
        <v>198</v>
      </c>
      <c r="I100" s="5" t="s">
        <v>718</v>
      </c>
      <c r="J100" s="5" t="s">
        <v>719</v>
      </c>
      <c r="K100" s="5" t="s">
        <v>639</v>
      </c>
      <c r="L100" s="5" t="s">
        <v>1053</v>
      </c>
      <c r="M100" s="6" t="s">
        <v>865</v>
      </c>
      <c r="N100" s="120" t="s">
        <v>859</v>
      </c>
      <c r="O100" s="27" t="s">
        <v>712</v>
      </c>
      <c r="P100" s="28" t="s">
        <v>71</v>
      </c>
      <c r="Q100" s="29" t="s">
        <v>1021</v>
      </c>
      <c r="R100" s="30" t="s">
        <v>728</v>
      </c>
      <c r="S100" s="5" t="s">
        <v>641</v>
      </c>
      <c r="T100" s="29"/>
      <c r="U100" s="3"/>
      <c r="V100" s="5"/>
      <c r="W100" s="3"/>
    </row>
    <row r="101" spans="1:23" ht="30.75" hidden="1" customHeight="1" x14ac:dyDescent="0.25">
      <c r="A101" s="3" t="s">
        <v>631</v>
      </c>
      <c r="B101" s="3" t="s">
        <v>635</v>
      </c>
      <c r="C101" s="3" t="s">
        <v>830</v>
      </c>
      <c r="D101" s="24" t="s">
        <v>729</v>
      </c>
      <c r="E101" s="25" t="s">
        <v>647</v>
      </c>
      <c r="F101" s="26" t="s">
        <v>636</v>
      </c>
      <c r="G101" s="4" t="s">
        <v>838</v>
      </c>
      <c r="H101" s="5" t="s">
        <v>198</v>
      </c>
      <c r="I101" s="5" t="s">
        <v>714</v>
      </c>
      <c r="J101" s="5" t="s">
        <v>715</v>
      </c>
      <c r="K101" s="5" t="s">
        <v>639</v>
      </c>
      <c r="L101" s="5" t="s">
        <v>1054</v>
      </c>
      <c r="M101" s="6" t="s">
        <v>882</v>
      </c>
      <c r="N101" s="120" t="s">
        <v>877</v>
      </c>
      <c r="O101" s="27" t="s">
        <v>712</v>
      </c>
      <c r="P101" s="28" t="s">
        <v>71</v>
      </c>
      <c r="Q101" s="29" t="s">
        <v>1023</v>
      </c>
      <c r="R101" s="30" t="s">
        <v>728</v>
      </c>
      <c r="S101" s="5" t="s">
        <v>641</v>
      </c>
      <c r="T101" s="29"/>
      <c r="U101" s="3"/>
      <c r="V101" s="5"/>
      <c r="W101" s="3"/>
    </row>
    <row r="102" spans="1:23" ht="30.75" hidden="1" customHeight="1" x14ac:dyDescent="0.25">
      <c r="A102" s="3" t="s">
        <v>631</v>
      </c>
      <c r="B102" s="3" t="s">
        <v>635</v>
      </c>
      <c r="C102" s="3" t="s">
        <v>831</v>
      </c>
      <c r="D102" s="24" t="s">
        <v>729</v>
      </c>
      <c r="E102" s="25" t="s">
        <v>646</v>
      </c>
      <c r="F102" s="26" t="s">
        <v>636</v>
      </c>
      <c r="G102" s="4" t="s">
        <v>838</v>
      </c>
      <c r="H102" s="5" t="s">
        <v>198</v>
      </c>
      <c r="I102" s="5" t="s">
        <v>714</v>
      </c>
      <c r="J102" s="5" t="s">
        <v>715</v>
      </c>
      <c r="K102" s="5" t="s">
        <v>639</v>
      </c>
      <c r="L102" s="5" t="s">
        <v>1055</v>
      </c>
      <c r="M102" s="6" t="s">
        <v>882</v>
      </c>
      <c r="N102" s="120" t="s">
        <v>877</v>
      </c>
      <c r="O102" s="27" t="s">
        <v>712</v>
      </c>
      <c r="P102" s="28" t="s">
        <v>71</v>
      </c>
      <c r="Q102" s="29" t="s">
        <v>1023</v>
      </c>
      <c r="R102" s="30" t="s">
        <v>728</v>
      </c>
      <c r="S102" s="5" t="s">
        <v>641</v>
      </c>
      <c r="T102" s="29"/>
      <c r="U102" s="3"/>
      <c r="V102" s="5"/>
      <c r="W102" s="3"/>
    </row>
    <row r="103" spans="1:23" ht="30.75" hidden="1" customHeight="1" x14ac:dyDescent="0.25">
      <c r="A103" s="3" t="s">
        <v>631</v>
      </c>
      <c r="B103" s="3" t="s">
        <v>635</v>
      </c>
      <c r="C103" s="3" t="s">
        <v>832</v>
      </c>
      <c r="D103" s="24" t="s">
        <v>729</v>
      </c>
      <c r="E103" s="25" t="s">
        <v>649</v>
      </c>
      <c r="F103" s="26" t="s">
        <v>636</v>
      </c>
      <c r="G103" s="4" t="s">
        <v>838</v>
      </c>
      <c r="H103" s="5" t="s">
        <v>198</v>
      </c>
      <c r="I103" s="5" t="s">
        <v>714</v>
      </c>
      <c r="J103" s="5" t="s">
        <v>715</v>
      </c>
      <c r="K103" s="5" t="s">
        <v>639</v>
      </c>
      <c r="L103" s="5" t="s">
        <v>1056</v>
      </c>
      <c r="M103" s="6" t="s">
        <v>882</v>
      </c>
      <c r="N103" s="120" t="s">
        <v>877</v>
      </c>
      <c r="O103" s="27" t="s">
        <v>712</v>
      </c>
      <c r="P103" s="28" t="s">
        <v>71</v>
      </c>
      <c r="Q103" s="29" t="s">
        <v>1023</v>
      </c>
      <c r="R103" s="30" t="s">
        <v>728</v>
      </c>
      <c r="S103" s="5" t="s">
        <v>641</v>
      </c>
      <c r="T103" s="29"/>
      <c r="U103" s="3"/>
      <c r="V103" s="5"/>
      <c r="W103" s="3"/>
    </row>
    <row r="104" spans="1:23" ht="30.75" hidden="1" customHeight="1" x14ac:dyDescent="0.25">
      <c r="A104" s="3" t="s">
        <v>631</v>
      </c>
      <c r="B104" s="3" t="s">
        <v>635</v>
      </c>
      <c r="C104" s="3" t="s">
        <v>833</v>
      </c>
      <c r="D104" s="24" t="s">
        <v>729</v>
      </c>
      <c r="E104" s="25" t="s">
        <v>648</v>
      </c>
      <c r="F104" s="26" t="s">
        <v>636</v>
      </c>
      <c r="G104" s="4" t="s">
        <v>838</v>
      </c>
      <c r="H104" s="5" t="s">
        <v>198</v>
      </c>
      <c r="I104" s="5" t="s">
        <v>714</v>
      </c>
      <c r="J104" s="5" t="s">
        <v>715</v>
      </c>
      <c r="K104" s="5" t="s">
        <v>639</v>
      </c>
      <c r="L104" s="5" t="s">
        <v>1057</v>
      </c>
      <c r="M104" s="6" t="s">
        <v>882</v>
      </c>
      <c r="N104" s="120" t="s">
        <v>877</v>
      </c>
      <c r="O104" s="27" t="s">
        <v>712</v>
      </c>
      <c r="P104" s="28" t="s">
        <v>71</v>
      </c>
      <c r="Q104" s="29" t="s">
        <v>1023</v>
      </c>
      <c r="R104" s="30" t="s">
        <v>728</v>
      </c>
      <c r="S104" s="5" t="s">
        <v>641</v>
      </c>
      <c r="T104" s="29"/>
      <c r="U104" s="3"/>
      <c r="V104" s="5"/>
      <c r="W104" s="3"/>
    </row>
    <row r="105" spans="1:23" ht="30.75" customHeight="1" x14ac:dyDescent="0.25">
      <c r="A105" s="3" t="s">
        <v>631</v>
      </c>
      <c r="B105" s="3" t="s">
        <v>635</v>
      </c>
      <c r="C105" s="3" t="s">
        <v>834</v>
      </c>
      <c r="D105" s="24" t="s">
        <v>727</v>
      </c>
      <c r="E105" s="25" t="s">
        <v>646</v>
      </c>
      <c r="F105" s="26" t="s">
        <v>636</v>
      </c>
      <c r="G105" s="4" t="s">
        <v>838</v>
      </c>
      <c r="H105" s="5" t="s">
        <v>198</v>
      </c>
      <c r="I105" s="5" t="s">
        <v>708</v>
      </c>
      <c r="J105" s="5" t="s">
        <v>709</v>
      </c>
      <c r="K105" s="5" t="s">
        <v>639</v>
      </c>
      <c r="L105" s="5" t="s">
        <v>1004</v>
      </c>
      <c r="M105" s="6" t="s">
        <v>843</v>
      </c>
      <c r="N105" s="120" t="s">
        <v>852</v>
      </c>
      <c r="O105" s="27" t="s">
        <v>712</v>
      </c>
      <c r="P105" s="28" t="s">
        <v>71</v>
      </c>
      <c r="Q105" s="29" t="s">
        <v>1024</v>
      </c>
      <c r="R105" s="30" t="s">
        <v>728</v>
      </c>
      <c r="S105" s="5" t="s">
        <v>641</v>
      </c>
      <c r="T105" s="29"/>
      <c r="U105" s="3"/>
      <c r="V105" s="5"/>
      <c r="W105" s="3"/>
    </row>
    <row r="106" spans="1:23" ht="30.75" customHeight="1" x14ac:dyDescent="0.25">
      <c r="A106" s="3" t="s">
        <v>631</v>
      </c>
      <c r="B106" s="3" t="s">
        <v>635</v>
      </c>
      <c r="C106" s="3" t="s">
        <v>835</v>
      </c>
      <c r="D106" s="24" t="s">
        <v>727</v>
      </c>
      <c r="E106" s="25" t="s">
        <v>647</v>
      </c>
      <c r="F106" s="26" t="s">
        <v>636</v>
      </c>
      <c r="G106" s="4" t="s">
        <v>838</v>
      </c>
      <c r="H106" s="5" t="s">
        <v>198</v>
      </c>
      <c r="I106" s="5" t="s">
        <v>708</v>
      </c>
      <c r="J106" s="5" t="s">
        <v>709</v>
      </c>
      <c r="K106" s="5" t="s">
        <v>639</v>
      </c>
      <c r="L106" s="5" t="s">
        <v>1002</v>
      </c>
      <c r="M106" s="6" t="s">
        <v>843</v>
      </c>
      <c r="N106" s="120" t="s">
        <v>852</v>
      </c>
      <c r="O106" s="27" t="s">
        <v>712</v>
      </c>
      <c r="P106" s="28" t="s">
        <v>71</v>
      </c>
      <c r="Q106" s="29" t="s">
        <v>1024</v>
      </c>
      <c r="R106" s="30" t="s">
        <v>728</v>
      </c>
      <c r="S106" s="5" t="s">
        <v>641</v>
      </c>
      <c r="T106" s="29"/>
      <c r="U106" s="3"/>
      <c r="V106" s="5"/>
      <c r="W106" s="3"/>
    </row>
    <row r="107" spans="1:23" ht="30.75" customHeight="1" x14ac:dyDescent="0.25">
      <c r="A107" s="3" t="s">
        <v>631</v>
      </c>
      <c r="B107" s="3" t="s">
        <v>635</v>
      </c>
      <c r="C107" s="3" t="s">
        <v>836</v>
      </c>
      <c r="D107" s="24" t="s">
        <v>727</v>
      </c>
      <c r="E107" s="25" t="s">
        <v>648</v>
      </c>
      <c r="F107" s="26" t="s">
        <v>636</v>
      </c>
      <c r="G107" s="4" t="s">
        <v>838</v>
      </c>
      <c r="H107" s="5" t="s">
        <v>198</v>
      </c>
      <c r="I107" s="5" t="s">
        <v>708</v>
      </c>
      <c r="J107" s="5" t="s">
        <v>709</v>
      </c>
      <c r="K107" s="5" t="s">
        <v>639</v>
      </c>
      <c r="L107" s="5" t="s">
        <v>1006</v>
      </c>
      <c r="M107" s="6" t="s">
        <v>843</v>
      </c>
      <c r="N107" s="120" t="s">
        <v>852</v>
      </c>
      <c r="O107" s="27" t="s">
        <v>712</v>
      </c>
      <c r="P107" s="28" t="s">
        <v>71</v>
      </c>
      <c r="Q107" s="29" t="s">
        <v>1024</v>
      </c>
      <c r="R107" s="30" t="s">
        <v>728</v>
      </c>
      <c r="S107" s="5" t="s">
        <v>641</v>
      </c>
      <c r="T107" s="29"/>
      <c r="U107" s="3"/>
      <c r="V107" s="5"/>
      <c r="W107" s="3"/>
    </row>
    <row r="108" spans="1:23" ht="30.75" customHeight="1" x14ac:dyDescent="0.25">
      <c r="A108" s="3" t="s">
        <v>631</v>
      </c>
      <c r="B108" s="3" t="s">
        <v>635</v>
      </c>
      <c r="C108" s="3" t="s">
        <v>837</v>
      </c>
      <c r="D108" s="24" t="s">
        <v>727</v>
      </c>
      <c r="E108" s="25" t="s">
        <v>649</v>
      </c>
      <c r="F108" s="26" t="s">
        <v>636</v>
      </c>
      <c r="G108" s="4" t="s">
        <v>838</v>
      </c>
      <c r="H108" s="5" t="s">
        <v>198</v>
      </c>
      <c r="I108" s="5" t="s">
        <v>708</v>
      </c>
      <c r="J108" s="5" t="s">
        <v>709</v>
      </c>
      <c r="K108" s="5" t="s">
        <v>639</v>
      </c>
      <c r="L108" s="5" t="s">
        <v>1005</v>
      </c>
      <c r="M108" s="6" t="s">
        <v>843</v>
      </c>
      <c r="N108" s="120" t="s">
        <v>852</v>
      </c>
      <c r="O108" s="27" t="s">
        <v>712</v>
      </c>
      <c r="P108" s="28" t="s">
        <v>71</v>
      </c>
      <c r="Q108" s="29" t="s">
        <v>1024</v>
      </c>
      <c r="R108" s="30" t="s">
        <v>728</v>
      </c>
      <c r="S108" s="5" t="s">
        <v>641</v>
      </c>
      <c r="T108" s="29"/>
      <c r="U108" s="3"/>
      <c r="V108" s="5"/>
      <c r="W108" s="3"/>
    </row>
  </sheetData>
  <autoFilter ref="A1:W1" xr:uid="{0CF8FF64-B7A8-4A98-8F20-26FDA9C9BA17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1">
    <mergeCell ref="A1:W1"/>
  </mergeCells>
  <phoneticPr fontId="14" type="noConversion"/>
  <conditionalFormatting sqref="T4:T108">
    <cfRule type="cellIs" dxfId="2012" priority="4" operator="equal">
      <formula>"Não Executada"</formula>
    </cfRule>
  </conditionalFormatting>
  <dataValidations count="1">
    <dataValidation type="list" allowBlank="1" showInputMessage="1" showErrorMessage="1" sqref="U4:U5" xr:uid="{02D36F4A-77B1-42D2-83F4-8605454C53A0}">
      <formula1>#REF!</formula1>
    </dataValidation>
  </dataValidations>
  <pageMargins left="0.19685039370078741" right="0.17" top="0.27" bottom="0.27559055118110237" header="0.23" footer="0.28999999999999998"/>
  <pageSetup paperSize="9" scale="3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9346B9-7A2C-4329-89AD-7E88442FD68D}">
          <x14:formula1>
            <xm:f>'Utilidades (2)'!$B:$B</xm:f>
          </x14:formula1>
          <xm:sqref>U6:U36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D0F8-1C64-49C5-8189-A96AE7211F6C}">
  <dimension ref="A1:Y72"/>
  <sheetViews>
    <sheetView showGridLines="0" zoomScaleNormal="100" workbookViewId="0">
      <selection activeCell="F36" sqref="F36"/>
    </sheetView>
  </sheetViews>
  <sheetFormatPr defaultRowHeight="15" outlineLevelRow="1" outlineLevelCol="1" x14ac:dyDescent="0.25"/>
  <cols>
    <col min="1" max="1" width="2.5703125" customWidth="1"/>
    <col min="2" max="2" width="1.42578125" customWidth="1"/>
    <col min="3" max="3" width="32.7109375" customWidth="1"/>
    <col min="4" max="6" width="15" style="2" customWidth="1"/>
    <col min="7" max="7" width="9.42578125" customWidth="1"/>
    <col min="8" max="11" width="9.140625" hidden="1" customWidth="1" outlineLevel="1"/>
    <col min="12" max="12" width="4.140625" hidden="1" customWidth="1" outlineLevel="1"/>
    <col min="13" max="13" width="1.5703125" customWidth="1" collapsed="1"/>
    <col min="14" max="15" width="1.5703125" customWidth="1"/>
    <col min="16" max="16" width="37.7109375" customWidth="1"/>
    <col min="17" max="17" width="25.5703125" style="2" customWidth="1"/>
    <col min="18" max="18" width="9.42578125" customWidth="1"/>
    <col min="19" max="23" width="9.140625" hidden="1" customWidth="1" outlineLevel="1"/>
    <col min="24" max="24" width="1.7109375" customWidth="1" collapsed="1"/>
    <col min="25" max="25" width="1.42578125" customWidth="1"/>
  </cols>
  <sheetData>
    <row r="1" spans="2:24" ht="8.25" customHeight="1" thickBot="1" x14ac:dyDescent="0.3">
      <c r="B1" s="59"/>
      <c r="C1" s="60"/>
      <c r="D1" s="61"/>
      <c r="E1" s="61"/>
      <c r="F1" s="61"/>
      <c r="G1" s="60"/>
      <c r="H1" s="60"/>
      <c r="I1" s="60"/>
      <c r="J1" s="60"/>
      <c r="K1" s="60"/>
      <c r="L1" s="60"/>
      <c r="M1" s="60"/>
      <c r="N1" s="60"/>
      <c r="O1" s="60"/>
      <c r="P1" s="60"/>
      <c r="Q1" s="61"/>
      <c r="R1" s="60"/>
      <c r="S1" s="60"/>
      <c r="T1" s="60"/>
      <c r="U1" s="60"/>
      <c r="V1" s="60"/>
      <c r="W1" s="60"/>
      <c r="X1" s="62"/>
    </row>
    <row r="2" spans="2:24" ht="42" customHeight="1" thickBot="1" x14ac:dyDescent="0.3">
      <c r="B2" s="143" t="e">
        <f>'Base de Envio'!Y1</f>
        <v>#VALUE!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5"/>
    </row>
    <row r="3" spans="2:24" ht="6" customHeight="1" x14ac:dyDescent="0.25"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</row>
    <row r="4" spans="2:24" ht="15.75" hidden="1" outlineLevel="1" thickBot="1" x14ac:dyDescent="0.3">
      <c r="B4" s="52"/>
      <c r="C4" s="15"/>
      <c r="P4" s="118" t="s">
        <v>28</v>
      </c>
      <c r="Q4" s="119" t="s">
        <v>45</v>
      </c>
      <c r="X4" s="53"/>
    </row>
    <row r="5" spans="2:24" ht="6.75" hidden="1" customHeight="1" outlineLevel="1" thickBot="1" x14ac:dyDescent="0.3">
      <c r="B5" s="52"/>
      <c r="C5" s="115"/>
      <c r="G5" s="2"/>
      <c r="H5" s="2"/>
      <c r="I5" s="2"/>
      <c r="J5" s="2"/>
      <c r="K5" s="2"/>
      <c r="L5" s="2"/>
      <c r="N5" s="54"/>
      <c r="X5" s="53"/>
    </row>
    <row r="6" spans="2:24" ht="15.75" hidden="1" outlineLevel="1" thickBot="1" x14ac:dyDescent="0.3">
      <c r="B6" s="52"/>
      <c r="C6" s="113" t="s">
        <v>40</v>
      </c>
      <c r="D6" s="114" t="s">
        <v>1</v>
      </c>
      <c r="E6" s="135"/>
      <c r="F6" s="136"/>
      <c r="N6" s="54"/>
      <c r="P6" s="113" t="s">
        <v>41</v>
      </c>
      <c r="Q6" s="115" t="s">
        <v>42</v>
      </c>
      <c r="X6" s="53"/>
    </row>
    <row r="7" spans="2:24" ht="15.75" hidden="1" outlineLevel="1" thickBot="1" x14ac:dyDescent="0.3">
      <c r="B7" s="52"/>
      <c r="C7" s="113" t="s">
        <v>41</v>
      </c>
      <c r="D7" s="135" t="s">
        <v>45</v>
      </c>
      <c r="E7" s="136" t="s">
        <v>640</v>
      </c>
      <c r="F7" s="115" t="s">
        <v>3</v>
      </c>
      <c r="N7" s="54"/>
      <c r="P7" s="110" t="s">
        <v>632</v>
      </c>
      <c r="Q7" s="161">
        <v>65</v>
      </c>
      <c r="X7" s="53"/>
    </row>
    <row r="8" spans="2:24" hidden="1" outlineLevel="1" x14ac:dyDescent="0.25">
      <c r="B8" s="52"/>
      <c r="C8" s="160" t="s">
        <v>631</v>
      </c>
      <c r="D8" s="154">
        <v>67</v>
      </c>
      <c r="E8" s="155">
        <v>38</v>
      </c>
      <c r="F8" s="156">
        <v>105</v>
      </c>
      <c r="G8" s="116">
        <f>IFERROR(D8/F8,"")</f>
        <v>0.63809523809523805</v>
      </c>
      <c r="N8" s="54"/>
      <c r="P8" s="111" t="s">
        <v>640</v>
      </c>
      <c r="Q8" s="162">
        <v>65</v>
      </c>
      <c r="X8" s="53"/>
    </row>
    <row r="9" spans="2:24" hidden="1" outlineLevel="1" x14ac:dyDescent="0.25">
      <c r="B9" s="52"/>
      <c r="C9" s="111" t="s">
        <v>632</v>
      </c>
      <c r="D9" s="157">
        <v>65</v>
      </c>
      <c r="E9" s="150"/>
      <c r="F9" s="151">
        <v>65</v>
      </c>
      <c r="G9" s="116">
        <f t="shared" ref="G9:G20" si="0">IFERROR(D9/F9,"")</f>
        <v>1</v>
      </c>
      <c r="N9" s="54"/>
      <c r="P9" s="110" t="s">
        <v>634</v>
      </c>
      <c r="Q9" s="162">
        <v>2</v>
      </c>
      <c r="X9" s="53"/>
    </row>
    <row r="10" spans="2:24" hidden="1" outlineLevel="1" x14ac:dyDescent="0.25">
      <c r="B10" s="52"/>
      <c r="C10" s="117" t="s">
        <v>652</v>
      </c>
      <c r="D10" s="157">
        <v>14</v>
      </c>
      <c r="E10" s="150"/>
      <c r="F10" s="151">
        <v>14</v>
      </c>
      <c r="G10" s="116">
        <f t="shared" si="0"/>
        <v>1</v>
      </c>
      <c r="N10" s="54"/>
      <c r="P10" s="111" t="s">
        <v>640</v>
      </c>
      <c r="Q10" s="162">
        <v>2</v>
      </c>
      <c r="X10" s="53"/>
    </row>
    <row r="11" spans="2:24" ht="15.75" hidden="1" outlineLevel="1" thickBot="1" x14ac:dyDescent="0.3">
      <c r="B11" s="52"/>
      <c r="C11" s="117" t="s">
        <v>671</v>
      </c>
      <c r="D11" s="157">
        <v>3</v>
      </c>
      <c r="E11" s="150"/>
      <c r="F11" s="151">
        <v>3</v>
      </c>
      <c r="G11" s="116">
        <f t="shared" si="0"/>
        <v>1</v>
      </c>
      <c r="N11" s="54"/>
      <c r="P11" s="112" t="s">
        <v>3</v>
      </c>
      <c r="Q11" s="163">
        <v>67</v>
      </c>
      <c r="X11" s="53"/>
    </row>
    <row r="12" spans="2:24" hidden="1" outlineLevel="1" x14ac:dyDescent="0.25">
      <c r="B12" s="52"/>
      <c r="C12" s="117" t="s">
        <v>673</v>
      </c>
      <c r="D12" s="157">
        <v>20</v>
      </c>
      <c r="E12" s="150"/>
      <c r="F12" s="151">
        <v>20</v>
      </c>
      <c r="G12" s="116">
        <f t="shared" si="0"/>
        <v>1</v>
      </c>
      <c r="N12" s="54"/>
      <c r="Q12"/>
      <c r="X12" s="53"/>
    </row>
    <row r="13" spans="2:24" hidden="1" outlineLevel="1" x14ac:dyDescent="0.25">
      <c r="B13" s="52"/>
      <c r="C13" s="117" t="s">
        <v>687</v>
      </c>
      <c r="D13" s="157">
        <v>28</v>
      </c>
      <c r="E13" s="150"/>
      <c r="F13" s="151">
        <v>28</v>
      </c>
      <c r="G13" s="116">
        <f t="shared" si="0"/>
        <v>1</v>
      </c>
      <c r="N13" s="54"/>
      <c r="Q13"/>
      <c r="X13" s="53"/>
    </row>
    <row r="14" spans="2:24" hidden="1" outlineLevel="1" x14ac:dyDescent="0.25">
      <c r="B14" s="52"/>
      <c r="C14" s="111" t="s">
        <v>634</v>
      </c>
      <c r="D14" s="157">
        <v>2</v>
      </c>
      <c r="E14" s="150">
        <v>3</v>
      </c>
      <c r="F14" s="151">
        <v>5</v>
      </c>
      <c r="G14" s="116">
        <f t="shared" si="0"/>
        <v>0.4</v>
      </c>
      <c r="N14" s="54"/>
      <c r="Q14"/>
      <c r="X14" s="53"/>
    </row>
    <row r="15" spans="2:24" hidden="1" outlineLevel="1" x14ac:dyDescent="0.25">
      <c r="B15" s="52"/>
      <c r="C15" s="117" t="s">
        <v>638</v>
      </c>
      <c r="D15" s="157">
        <v>2</v>
      </c>
      <c r="E15" s="150">
        <v>3</v>
      </c>
      <c r="F15" s="151">
        <v>5</v>
      </c>
      <c r="G15" s="116">
        <f t="shared" si="0"/>
        <v>0.4</v>
      </c>
      <c r="N15" s="54"/>
      <c r="Q15"/>
      <c r="X15" s="53"/>
    </row>
    <row r="16" spans="2:24" hidden="1" outlineLevel="1" x14ac:dyDescent="0.25">
      <c r="B16" s="52"/>
      <c r="C16" s="111" t="s">
        <v>635</v>
      </c>
      <c r="D16" s="157"/>
      <c r="E16" s="150">
        <v>35</v>
      </c>
      <c r="F16" s="151">
        <v>35</v>
      </c>
      <c r="G16" s="116">
        <f t="shared" si="0"/>
        <v>0</v>
      </c>
      <c r="N16" s="54"/>
      <c r="Q16"/>
      <c r="X16" s="53"/>
    </row>
    <row r="17" spans="2:24" hidden="1" outlineLevel="1" x14ac:dyDescent="0.25">
      <c r="B17" s="52"/>
      <c r="C17" s="117" t="s">
        <v>653</v>
      </c>
      <c r="D17" s="157"/>
      <c r="E17" s="150">
        <v>6</v>
      </c>
      <c r="F17" s="151">
        <v>6</v>
      </c>
      <c r="G17" s="116">
        <f t="shared" si="0"/>
        <v>0</v>
      </c>
      <c r="N17" s="54"/>
      <c r="Q17"/>
      <c r="X17" s="53"/>
    </row>
    <row r="18" spans="2:24" hidden="1" outlineLevel="1" x14ac:dyDescent="0.25">
      <c r="B18" s="52"/>
      <c r="C18" s="117" t="s">
        <v>711</v>
      </c>
      <c r="D18" s="157"/>
      <c r="E18" s="150">
        <v>2</v>
      </c>
      <c r="F18" s="151">
        <v>2</v>
      </c>
      <c r="G18" s="116">
        <f t="shared" si="0"/>
        <v>0</v>
      </c>
      <c r="N18" s="54"/>
      <c r="Q18"/>
      <c r="X18" s="53"/>
    </row>
    <row r="19" spans="2:24" hidden="1" outlineLevel="1" x14ac:dyDescent="0.25">
      <c r="B19" s="52"/>
      <c r="C19" s="117" t="s">
        <v>712</v>
      </c>
      <c r="D19" s="157"/>
      <c r="E19" s="150">
        <v>24</v>
      </c>
      <c r="F19" s="151">
        <v>24</v>
      </c>
      <c r="G19" s="116">
        <f t="shared" si="0"/>
        <v>0</v>
      </c>
      <c r="N19" s="54"/>
      <c r="Q19"/>
      <c r="X19" s="53"/>
    </row>
    <row r="20" spans="2:24" hidden="1" outlineLevel="1" x14ac:dyDescent="0.25">
      <c r="B20" s="52"/>
      <c r="C20" s="117" t="s">
        <v>721</v>
      </c>
      <c r="D20" s="157"/>
      <c r="E20" s="150">
        <v>2</v>
      </c>
      <c r="F20" s="151">
        <v>2</v>
      </c>
      <c r="G20" s="47">
        <f t="shared" si="0"/>
        <v>0</v>
      </c>
      <c r="N20" s="54"/>
      <c r="Q20"/>
      <c r="X20" s="53"/>
    </row>
    <row r="21" spans="2:24" hidden="1" outlineLevel="1" x14ac:dyDescent="0.25">
      <c r="B21" s="52"/>
      <c r="C21" s="117" t="s">
        <v>1014</v>
      </c>
      <c r="D21" s="157"/>
      <c r="E21" s="150">
        <v>1</v>
      </c>
      <c r="F21" s="151">
        <v>1</v>
      </c>
      <c r="G21" s="47">
        <f>IFERROR(D21/F21,"")</f>
        <v>0</v>
      </c>
      <c r="N21" s="54"/>
      <c r="Q21"/>
      <c r="X21" s="53"/>
    </row>
    <row r="22" spans="2:24" ht="15.75" hidden="1" outlineLevel="1" thickBot="1" x14ac:dyDescent="0.3">
      <c r="B22" s="52"/>
      <c r="C22" s="159" t="s">
        <v>3</v>
      </c>
      <c r="D22" s="158">
        <v>67</v>
      </c>
      <c r="E22" s="152">
        <v>38</v>
      </c>
      <c r="F22" s="153">
        <v>105</v>
      </c>
      <c r="G22" s="47">
        <f t="shared" ref="G22:G25" si="1">IFERROR(D22/F22,"")</f>
        <v>0.63809523809523805</v>
      </c>
      <c r="N22" s="54"/>
      <c r="Q22"/>
      <c r="X22" s="53"/>
    </row>
    <row r="23" spans="2:24" hidden="1" outlineLevel="1" x14ac:dyDescent="0.25">
      <c r="B23" s="52"/>
      <c r="D23"/>
      <c r="E23"/>
      <c r="F23"/>
      <c r="G23" s="47" t="str">
        <f t="shared" si="1"/>
        <v/>
      </c>
      <c r="N23" s="54"/>
      <c r="Q23"/>
      <c r="X23" s="53"/>
    </row>
    <row r="24" spans="2:24" ht="15.75" hidden="1" outlineLevel="1" thickBot="1" x14ac:dyDescent="0.3">
      <c r="B24" s="52"/>
      <c r="D24"/>
      <c r="E24"/>
      <c r="F24"/>
      <c r="G24" s="47" t="str">
        <f t="shared" si="1"/>
        <v/>
      </c>
      <c r="N24" s="54"/>
      <c r="Q24"/>
      <c r="X24" s="53"/>
    </row>
    <row r="25" spans="2:24" ht="15.75" hidden="1" outlineLevel="1" thickBot="1" x14ac:dyDescent="0.3">
      <c r="B25" s="52"/>
      <c r="D25"/>
      <c r="E25"/>
      <c r="F25"/>
      <c r="G25" s="47" t="str">
        <f t="shared" si="1"/>
        <v/>
      </c>
      <c r="N25" s="54"/>
      <c r="Q25"/>
      <c r="X25" s="53"/>
    </row>
    <row r="26" spans="2:24" hidden="1" outlineLevel="1" x14ac:dyDescent="0.25">
      <c r="B26" s="52"/>
      <c r="D26"/>
      <c r="E26"/>
      <c r="F26"/>
      <c r="N26" s="54"/>
      <c r="Q26"/>
      <c r="X26" s="53"/>
    </row>
    <row r="27" spans="2:24" ht="15.75" hidden="1" outlineLevel="1" thickBot="1" x14ac:dyDescent="0.3">
      <c r="B27" s="52"/>
      <c r="D27"/>
      <c r="E27"/>
      <c r="N27" s="54"/>
      <c r="Q27"/>
      <c r="X27" s="53"/>
    </row>
    <row r="28" spans="2:24" collapsed="1" x14ac:dyDescent="0.25">
      <c r="B28" s="52"/>
      <c r="C28" s="146" t="e">
        <f>'Base de Envio'!Y1</f>
        <v>#VALUE!</v>
      </c>
      <c r="D28" s="142"/>
      <c r="E28" s="142"/>
      <c r="F28" s="142"/>
      <c r="G28" s="9"/>
      <c r="N28" s="54"/>
      <c r="P28" s="142" t="e">
        <f>"Resumo de Justificativas - Não Execução "&amp;RIGHT(C28,25)</f>
        <v>#VALUE!</v>
      </c>
      <c r="Q28" s="142"/>
      <c r="R28" s="9"/>
      <c r="X28" s="53"/>
    </row>
    <row r="29" spans="2:24" x14ac:dyDescent="0.25">
      <c r="B29" s="52"/>
      <c r="C29" s="48" t="s">
        <v>43</v>
      </c>
      <c r="D29" s="47" t="s">
        <v>44</v>
      </c>
      <c r="E29" s="47" t="s">
        <v>45</v>
      </c>
      <c r="F29" s="47" t="s">
        <v>3</v>
      </c>
      <c r="G29" s="9"/>
      <c r="N29" s="54"/>
      <c r="P29" s="46" t="s">
        <v>41</v>
      </c>
      <c r="Q29" s="47" t="s">
        <v>45</v>
      </c>
      <c r="R29" s="9"/>
      <c r="X29" s="53"/>
    </row>
    <row r="30" spans="2:24" x14ac:dyDescent="0.25">
      <c r="B30" s="52"/>
      <c r="C30" s="16" t="s">
        <v>32</v>
      </c>
      <c r="D30" s="11">
        <f t="shared" ref="D30" si="2">IF(SUM(D31:D34)=0,0,SUM(D31:D34))</f>
        <v>36</v>
      </c>
      <c r="E30" s="11">
        <f>IF(SUM(E31:E34)=0,0,SUM(E31:E34))</f>
        <v>1</v>
      </c>
      <c r="F30" s="11">
        <f t="shared" ref="F30" si="3">IF(SUM(F31:F34)=0,0,SUM(F31:F34))</f>
        <v>37</v>
      </c>
      <c r="G30" s="47">
        <f>IFERROR(D30/F30,"")</f>
        <v>0.97297297297297303</v>
      </c>
      <c r="N30" s="54"/>
      <c r="P30" s="10" t="s">
        <v>4</v>
      </c>
      <c r="Q30" s="11">
        <f>SUM(Q31:Q33)</f>
        <v>54</v>
      </c>
      <c r="R30" s="47">
        <f t="shared" ref="R30:R42" si="4">IFERROR(Q30/$Q$45,"")</f>
        <v>0.93103448275862066</v>
      </c>
      <c r="X30" s="53"/>
    </row>
    <row r="31" spans="2:24" x14ac:dyDescent="0.25">
      <c r="B31" s="52"/>
      <c r="C31" s="17" t="s">
        <v>4</v>
      </c>
      <c r="D31" s="13">
        <v>34</v>
      </c>
      <c r="E31" s="13">
        <v>1</v>
      </c>
      <c r="F31" s="13">
        <v>35</v>
      </c>
      <c r="G31" s="14">
        <f>IFERROR(D31/F31,"")</f>
        <v>0.97142857142857142</v>
      </c>
      <c r="N31" s="54"/>
      <c r="P31" s="12" t="s">
        <v>57</v>
      </c>
      <c r="Q31" s="13">
        <v>53</v>
      </c>
      <c r="R31" s="14">
        <f t="shared" si="4"/>
        <v>0.91379310344827591</v>
      </c>
      <c r="X31" s="53"/>
    </row>
    <row r="32" spans="2:24" x14ac:dyDescent="0.25">
      <c r="B32" s="52"/>
      <c r="C32" s="17" t="s">
        <v>7</v>
      </c>
      <c r="D32" s="13">
        <v>2</v>
      </c>
      <c r="E32" s="13"/>
      <c r="F32" s="13">
        <v>2</v>
      </c>
      <c r="G32" s="14">
        <f>IFERROR(D32/F32,"")</f>
        <v>1</v>
      </c>
      <c r="N32" s="54"/>
      <c r="P32" s="12" t="s">
        <v>66</v>
      </c>
      <c r="Q32" s="13">
        <v>1</v>
      </c>
      <c r="R32" s="14">
        <f t="shared" si="4"/>
        <v>1.7241379310344827E-2</v>
      </c>
      <c r="X32" s="53"/>
    </row>
    <row r="33" spans="1:25" x14ac:dyDescent="0.25">
      <c r="B33" s="52"/>
      <c r="C33" s="17" t="s">
        <v>6</v>
      </c>
      <c r="D33" s="13"/>
      <c r="E33" s="13"/>
      <c r="F33" s="13"/>
      <c r="G33" s="14" t="str">
        <f t="shared" ref="G33:G34" si="5">IFERROR(D33/F33,"")</f>
        <v/>
      </c>
      <c r="N33" s="54"/>
      <c r="P33" s="12"/>
      <c r="Q33" s="13"/>
      <c r="R33" s="14">
        <f t="shared" si="4"/>
        <v>0</v>
      </c>
      <c r="X33" s="53"/>
    </row>
    <row r="34" spans="1:25" x14ac:dyDescent="0.25">
      <c r="B34" s="52"/>
      <c r="C34" s="17" t="s">
        <v>46</v>
      </c>
      <c r="D34" s="13"/>
      <c r="E34" s="13"/>
      <c r="F34" s="13"/>
      <c r="G34" s="14" t="str">
        <f t="shared" si="5"/>
        <v/>
      </c>
      <c r="N34" s="54"/>
      <c r="P34" s="10" t="s">
        <v>5</v>
      </c>
      <c r="Q34" s="11">
        <f>SUM(Q35)</f>
        <v>1</v>
      </c>
      <c r="R34" s="47">
        <f t="shared" si="4"/>
        <v>1.7241379310344827E-2</v>
      </c>
      <c r="X34" s="53"/>
    </row>
    <row r="35" spans="1:25" x14ac:dyDescent="0.25">
      <c r="B35" s="52"/>
      <c r="C35" s="16" t="s">
        <v>34</v>
      </c>
      <c r="D35" s="11">
        <f t="shared" ref="D35:F35" si="6">IF(SUM(D36:D39)=0,0,SUM(D36:D39))</f>
        <v>251</v>
      </c>
      <c r="E35" s="11">
        <f t="shared" si="6"/>
        <v>56</v>
      </c>
      <c r="F35" s="11">
        <f t="shared" si="6"/>
        <v>307</v>
      </c>
      <c r="G35" s="47">
        <f>IFERROR(D35/F35,"")</f>
        <v>0.8175895765472313</v>
      </c>
      <c r="N35" s="54"/>
      <c r="P35" s="12" t="s">
        <v>59</v>
      </c>
      <c r="Q35" s="13">
        <v>1</v>
      </c>
      <c r="R35" s="14">
        <f t="shared" si="4"/>
        <v>1.7241379310344827E-2</v>
      </c>
      <c r="X35" s="53"/>
    </row>
    <row r="36" spans="1:25" x14ac:dyDescent="0.25">
      <c r="B36" s="52"/>
      <c r="C36" s="17" t="s">
        <v>4</v>
      </c>
      <c r="D36" s="13">
        <v>108</v>
      </c>
      <c r="E36" s="13">
        <v>53</v>
      </c>
      <c r="F36" s="13">
        <v>161</v>
      </c>
      <c r="G36" s="14">
        <f t="shared" ref="G36:G38" si="7">IFERROR(D36/F36,"")</f>
        <v>0.67080745341614911</v>
      </c>
      <c r="N36" s="54"/>
      <c r="P36" s="10" t="s">
        <v>7</v>
      </c>
      <c r="Q36" s="11">
        <f>SUM(Q37)</f>
        <v>2</v>
      </c>
      <c r="R36" s="47">
        <f t="shared" si="4"/>
        <v>3.4482758620689655E-2</v>
      </c>
      <c r="X36" s="53"/>
    </row>
    <row r="37" spans="1:25" x14ac:dyDescent="0.25">
      <c r="B37" s="52"/>
      <c r="C37" s="17" t="s">
        <v>46</v>
      </c>
      <c r="D37" s="13"/>
      <c r="E37" s="13">
        <v>1</v>
      </c>
      <c r="F37" s="13">
        <v>1</v>
      </c>
      <c r="G37" s="14">
        <f t="shared" si="7"/>
        <v>0</v>
      </c>
      <c r="N37" s="54"/>
      <c r="P37" s="12" t="s">
        <v>66</v>
      </c>
      <c r="Q37" s="13">
        <v>2</v>
      </c>
      <c r="R37" s="14">
        <f t="shared" si="4"/>
        <v>3.4482758620689655E-2</v>
      </c>
      <c r="X37" s="53"/>
    </row>
    <row r="38" spans="1:25" x14ac:dyDescent="0.25">
      <c r="B38" s="52"/>
      <c r="C38" s="17" t="s">
        <v>7</v>
      </c>
      <c r="D38" s="13">
        <v>8</v>
      </c>
      <c r="E38" s="13">
        <v>2</v>
      </c>
      <c r="F38" s="13">
        <v>10</v>
      </c>
      <c r="G38" s="14">
        <f t="shared" si="7"/>
        <v>0.8</v>
      </c>
      <c r="N38" s="54"/>
      <c r="P38" s="10" t="s">
        <v>46</v>
      </c>
      <c r="Q38" s="11">
        <f>SUM(Q39)</f>
        <v>1</v>
      </c>
      <c r="R38" s="47">
        <f t="shared" si="4"/>
        <v>1.7241379310344827E-2</v>
      </c>
      <c r="X38" s="53"/>
    </row>
    <row r="39" spans="1:25" x14ac:dyDescent="0.25">
      <c r="B39" s="52"/>
      <c r="C39" s="17" t="s">
        <v>6</v>
      </c>
      <c r="D39" s="13">
        <v>135</v>
      </c>
      <c r="E39" s="13"/>
      <c r="F39" s="13">
        <v>135</v>
      </c>
      <c r="G39" s="14">
        <f t="shared" ref="G39" si="8">IFERROR(D39/F39,"")</f>
        <v>1</v>
      </c>
      <c r="N39" s="54"/>
      <c r="P39" s="12" t="s">
        <v>65</v>
      </c>
      <c r="Q39" s="13">
        <v>1</v>
      </c>
      <c r="R39" s="14">
        <f t="shared" si="4"/>
        <v>1.7241379310344827E-2</v>
      </c>
      <c r="X39" s="53"/>
    </row>
    <row r="40" spans="1:25" x14ac:dyDescent="0.25">
      <c r="B40" s="52"/>
      <c r="C40" s="16" t="s">
        <v>38</v>
      </c>
      <c r="D40" s="11">
        <f t="shared" ref="D40:F40" si="9">IF(SUM(D41:D44)=0,0,SUM(D41:D44))</f>
        <v>32</v>
      </c>
      <c r="E40" s="11">
        <f t="shared" si="9"/>
        <v>1</v>
      </c>
      <c r="F40" s="11">
        <f t="shared" si="9"/>
        <v>33</v>
      </c>
      <c r="G40" s="47">
        <f>IFERROR(D40/F40,"")</f>
        <v>0.96969696969696972</v>
      </c>
      <c r="N40" s="54"/>
      <c r="P40" s="10" t="s">
        <v>8</v>
      </c>
      <c r="Q40" s="11">
        <f>SUM(Q41:Q42)</f>
        <v>0</v>
      </c>
      <c r="R40" s="47">
        <f t="shared" si="4"/>
        <v>0</v>
      </c>
      <c r="X40" s="53"/>
    </row>
    <row r="41" spans="1:25" x14ac:dyDescent="0.25">
      <c r="B41" s="52"/>
      <c r="C41" s="17" t="s">
        <v>5</v>
      </c>
      <c r="D41" s="13">
        <v>26</v>
      </c>
      <c r="E41" s="13">
        <v>1</v>
      </c>
      <c r="F41" s="13">
        <v>27</v>
      </c>
      <c r="G41" s="14">
        <f t="shared" ref="G41:G42" si="10">IFERROR(D41/F41,"")</f>
        <v>0.96296296296296291</v>
      </c>
      <c r="N41" s="54"/>
      <c r="P41" s="12"/>
      <c r="Q41" s="13"/>
      <c r="R41" s="14">
        <f t="shared" si="4"/>
        <v>0</v>
      </c>
      <c r="X41" s="53"/>
    </row>
    <row r="42" spans="1:25" x14ac:dyDescent="0.25">
      <c r="B42" s="52"/>
      <c r="C42" s="17" t="s">
        <v>8</v>
      </c>
      <c r="D42" s="13">
        <v>6</v>
      </c>
      <c r="E42" s="13"/>
      <c r="F42" s="13">
        <v>6</v>
      </c>
      <c r="G42" s="14">
        <f t="shared" si="10"/>
        <v>1</v>
      </c>
      <c r="N42" s="54"/>
      <c r="P42" s="12"/>
      <c r="Q42" s="13"/>
      <c r="R42" s="14">
        <f t="shared" si="4"/>
        <v>0</v>
      </c>
      <c r="X42" s="53"/>
    </row>
    <row r="43" spans="1:25" x14ac:dyDescent="0.25">
      <c r="B43" s="52"/>
      <c r="C43" s="17" t="s">
        <v>46</v>
      </c>
      <c r="D43" s="13"/>
      <c r="E43" s="13"/>
      <c r="F43" s="13"/>
      <c r="G43" s="14" t="str">
        <f t="shared" ref="G43" si="11">IFERROR(D43/F43,"")</f>
        <v/>
      </c>
      <c r="N43" s="54"/>
      <c r="X43" s="53"/>
    </row>
    <row r="44" spans="1:25" x14ac:dyDescent="0.25">
      <c r="B44" s="52"/>
      <c r="C44" s="17" t="s">
        <v>6</v>
      </c>
      <c r="D44" s="13"/>
      <c r="E44" s="13"/>
      <c r="F44" s="13"/>
      <c r="G44" s="14">
        <v>1</v>
      </c>
      <c r="N44" s="54"/>
      <c r="P44" s="9"/>
      <c r="Q44" s="13"/>
      <c r="R44" s="9"/>
      <c r="X44" s="53"/>
    </row>
    <row r="45" spans="1:25" x14ac:dyDescent="0.25">
      <c r="B45" s="52"/>
      <c r="C45" s="16" t="s">
        <v>3</v>
      </c>
      <c r="D45" s="11">
        <f>D30+D35+D40</f>
        <v>319</v>
      </c>
      <c r="E45" s="11">
        <f t="shared" ref="E45:F45" si="12">E30+E35+E40</f>
        <v>58</v>
      </c>
      <c r="F45" s="11">
        <f t="shared" si="12"/>
        <v>377</v>
      </c>
      <c r="G45" s="47">
        <f>IFERROR(D45/F45,"")</f>
        <v>0.84615384615384615</v>
      </c>
      <c r="N45" s="54"/>
      <c r="P45" s="10" t="s">
        <v>3</v>
      </c>
      <c r="Q45" s="11">
        <f>Q30+Q34+Q36+Q40+Q38</f>
        <v>58</v>
      </c>
      <c r="R45" s="47">
        <f>IFERROR(Q45/$E$45,"")</f>
        <v>1</v>
      </c>
      <c r="X45" s="53"/>
    </row>
    <row r="46" spans="1:25" ht="6.75" customHeight="1" thickBot="1" x14ac:dyDescent="0.3">
      <c r="B46" s="55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7"/>
      <c r="R46" s="56"/>
      <c r="S46" s="56"/>
      <c r="T46" s="56"/>
      <c r="U46" s="56"/>
      <c r="V46" s="56"/>
      <c r="W46" s="56"/>
      <c r="X46" s="58"/>
    </row>
    <row r="48" spans="1:25" x14ac:dyDescent="0.25">
      <c r="A48" s="2"/>
      <c r="B48" s="2"/>
      <c r="C48" s="2"/>
      <c r="G48" s="2"/>
      <c r="H48" s="2"/>
      <c r="I48" s="2"/>
      <c r="J48" s="2"/>
      <c r="K48" s="2"/>
      <c r="L48" s="2"/>
      <c r="M48" s="2"/>
      <c r="N48" s="2"/>
      <c r="O48" s="2"/>
      <c r="S48" s="2"/>
      <c r="T48" s="2"/>
      <c r="U48" s="2"/>
      <c r="V48" s="2"/>
      <c r="W48" s="2"/>
      <c r="X48" s="2"/>
      <c r="Y48" s="2"/>
    </row>
    <row r="49" spans="1:25" x14ac:dyDescent="0.25">
      <c r="A49" s="2"/>
      <c r="B49" s="2"/>
      <c r="C49" s="2"/>
      <c r="G49" s="2"/>
      <c r="H49" s="2"/>
      <c r="I49" s="2"/>
      <c r="J49" s="2"/>
      <c r="K49" s="2"/>
      <c r="L49" s="2"/>
      <c r="M49" s="2"/>
      <c r="N49" s="2"/>
      <c r="O49" s="2"/>
      <c r="S49" s="2"/>
      <c r="T49" s="2"/>
      <c r="U49" s="2"/>
      <c r="V49" s="2"/>
      <c r="W49" s="2"/>
      <c r="X49" s="2"/>
      <c r="Y49" s="2"/>
    </row>
    <row r="50" spans="1:25" x14ac:dyDescent="0.25">
      <c r="A50" s="2"/>
      <c r="B50" s="2"/>
      <c r="C50" s="16" t="s">
        <v>47</v>
      </c>
      <c r="D50" s="11">
        <f t="shared" ref="D50:F51" si="13">D35+D30</f>
        <v>287</v>
      </c>
      <c r="E50" s="11">
        <f t="shared" si="13"/>
        <v>57</v>
      </c>
      <c r="F50" s="11">
        <f t="shared" si="13"/>
        <v>344</v>
      </c>
      <c r="G50" s="47">
        <f>IFERROR(D50/F50,"")</f>
        <v>0.83430232558139539</v>
      </c>
      <c r="H50" s="2"/>
      <c r="I50" s="2"/>
      <c r="J50" s="2"/>
      <c r="K50" s="2"/>
      <c r="L50" s="2"/>
      <c r="M50" s="2"/>
      <c r="N50" s="2"/>
      <c r="O50" s="2"/>
      <c r="S50" s="2"/>
      <c r="T50" s="2"/>
      <c r="U50" s="2"/>
      <c r="V50" s="2"/>
      <c r="W50" s="2"/>
      <c r="X50" s="2"/>
      <c r="Y50" s="2"/>
    </row>
    <row r="51" spans="1:25" x14ac:dyDescent="0.25">
      <c r="A51" s="2"/>
      <c r="B51" s="2"/>
      <c r="C51" s="16" t="s">
        <v>48</v>
      </c>
      <c r="D51" s="11">
        <f t="shared" si="13"/>
        <v>142</v>
      </c>
      <c r="E51" s="11">
        <f t="shared" si="13"/>
        <v>54</v>
      </c>
      <c r="F51" s="11">
        <f t="shared" si="13"/>
        <v>196</v>
      </c>
      <c r="G51" s="47">
        <f>IFERROR(D51/F51,"")</f>
        <v>0.72448979591836737</v>
      </c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/>
      <c r="B52" s="2"/>
      <c r="C52" s="16" t="s">
        <v>49</v>
      </c>
      <c r="D52" s="11">
        <f>D38+D32</f>
        <v>10</v>
      </c>
      <c r="E52" s="11">
        <f t="shared" ref="E52:F52" si="14">E38+E32</f>
        <v>2</v>
      </c>
      <c r="F52" s="11">
        <f t="shared" si="14"/>
        <v>12</v>
      </c>
      <c r="G52" s="47">
        <f>IFERROR(D52/F52,"")</f>
        <v>0.83333333333333337</v>
      </c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/>
      <c r="B53" s="2"/>
      <c r="C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/>
      <c r="B54" s="2"/>
      <c r="C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/>
      <c r="B55" s="2"/>
      <c r="C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/>
      <c r="B56" s="2"/>
      <c r="C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/>
      <c r="B57" s="2"/>
      <c r="C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/>
      <c r="B58" s="2"/>
      <c r="C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/>
      <c r="B59" s="2"/>
      <c r="C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/>
      <c r="B60" s="2"/>
      <c r="C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/>
      <c r="B61" s="2"/>
      <c r="C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/>
      <c r="B62" s="2"/>
      <c r="C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P63" s="2"/>
      <c r="R63" s="2"/>
    </row>
    <row r="64" spans="1:25" x14ac:dyDescent="0.25">
      <c r="P64" s="2"/>
      <c r="R64" s="2"/>
    </row>
    <row r="65" spans="3:18" x14ac:dyDescent="0.25">
      <c r="P65" s="2"/>
      <c r="R65" s="2"/>
    </row>
    <row r="69" spans="3:18" x14ac:dyDescent="0.25">
      <c r="C69" s="2"/>
    </row>
    <row r="70" spans="3:18" x14ac:dyDescent="0.25">
      <c r="C70" s="2"/>
    </row>
    <row r="71" spans="3:18" x14ac:dyDescent="0.25">
      <c r="C71" s="2"/>
    </row>
    <row r="72" spans="3:18" x14ac:dyDescent="0.25">
      <c r="C72" s="2"/>
    </row>
  </sheetData>
  <sortState xmlns:xlrd2="http://schemas.microsoft.com/office/spreadsheetml/2017/richdata2" ref="C36:F39">
    <sortCondition ref="C36:C39"/>
  </sortState>
  <mergeCells count="3">
    <mergeCell ref="P28:Q28"/>
    <mergeCell ref="B2:X2"/>
    <mergeCell ref="C28:F28"/>
  </mergeCells>
  <pageMargins left="0.511811024" right="0.511811024" top="0.78740157499999996" bottom="0.78740157499999996" header="0.31496062000000002" footer="0.3149606200000000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24CE-1FC1-43F2-BDFD-52EC957D3AE9}">
  <dimension ref="A1:AK338"/>
  <sheetViews>
    <sheetView showGridLines="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B4" sqref="B4:B21"/>
    </sheetView>
  </sheetViews>
  <sheetFormatPr defaultRowHeight="15" x14ac:dyDescent="0.25"/>
  <cols>
    <col min="1" max="1" width="1.28515625" style="63" customWidth="1"/>
    <col min="2" max="2" width="35.85546875" style="63" customWidth="1"/>
    <col min="3" max="3" width="1.28515625" style="63" customWidth="1"/>
    <col min="4" max="4" width="30.140625" style="63" customWidth="1"/>
    <col min="5" max="5" width="16.85546875" style="63" customWidth="1"/>
    <col min="6" max="6" width="1.28515625" style="63" customWidth="1"/>
    <col min="7" max="7" width="9.140625" style="64"/>
    <col min="8" max="8" width="21.5703125" style="64" customWidth="1"/>
    <col min="9" max="9" width="1.28515625" style="64" customWidth="1"/>
    <col min="10" max="10" width="17.5703125" style="65" bestFit="1" customWidth="1"/>
    <col min="11" max="11" width="12.85546875" style="65" bestFit="1" customWidth="1"/>
    <col min="12" max="12" width="14.85546875" style="65" bestFit="1" customWidth="1"/>
    <col min="13" max="13" width="11.7109375" style="64" bestFit="1" customWidth="1"/>
    <col min="14" max="14" width="13.85546875" style="66" bestFit="1" customWidth="1"/>
    <col min="15" max="15" width="24.85546875" style="67" customWidth="1"/>
    <col min="16" max="16" width="11.5703125" style="67" bestFit="1" customWidth="1"/>
    <col min="17" max="17" width="14" style="67" bestFit="1" customWidth="1"/>
    <col min="18" max="18" width="10" style="67" bestFit="1" customWidth="1"/>
    <col min="19" max="19" width="39.5703125" style="63" bestFit="1" customWidth="1"/>
    <col min="20" max="20" width="1.28515625" style="63" customWidth="1"/>
    <col min="21" max="21" width="33.42578125" style="63" customWidth="1"/>
    <col min="22" max="22" width="13.28515625" style="68" bestFit="1" customWidth="1"/>
    <col min="23" max="23" width="17.5703125" style="63" customWidth="1"/>
    <col min="24" max="24" width="1.28515625" style="63" customWidth="1"/>
    <col min="25" max="25" width="30" style="63" bestFit="1" customWidth="1"/>
    <col min="26" max="26" width="35.140625" style="68" bestFit="1" customWidth="1"/>
    <col min="27" max="27" width="1.42578125" style="63" customWidth="1"/>
    <col min="28" max="31" width="9.140625" style="63"/>
    <col min="32" max="32" width="1.7109375" style="63" customWidth="1"/>
    <col min="33" max="33" width="42.5703125" style="63" bestFit="1" customWidth="1"/>
    <col min="34" max="34" width="16.140625" style="63" bestFit="1" customWidth="1"/>
    <col min="35" max="35" width="17.140625" style="63" bestFit="1" customWidth="1"/>
    <col min="36" max="36" width="11.5703125" style="63" bestFit="1" customWidth="1"/>
    <col min="37" max="16384" width="9.140625" style="63"/>
  </cols>
  <sheetData>
    <row r="1" spans="1:37" ht="69.75" customHeight="1" x14ac:dyDescent="0.25">
      <c r="AK1" s="69">
        <f>SUBTOTAL(9,Tabela612[Ativos])</f>
        <v>342</v>
      </c>
    </row>
    <row r="2" spans="1:37" ht="3.75" customHeight="1" x14ac:dyDescent="0.25">
      <c r="A2" s="70"/>
      <c r="B2" s="70"/>
      <c r="C2" s="70"/>
      <c r="D2" s="70"/>
      <c r="E2" s="70"/>
      <c r="F2" s="70"/>
      <c r="O2" s="66"/>
      <c r="P2" s="66"/>
      <c r="Q2" s="66"/>
      <c r="R2" s="66"/>
      <c r="S2" s="70"/>
      <c r="T2" s="70"/>
      <c r="X2" s="70"/>
    </row>
    <row r="3" spans="1:37" x14ac:dyDescent="0.25">
      <c r="A3" s="70"/>
      <c r="B3" s="71" t="s">
        <v>50</v>
      </c>
      <c r="C3" s="71"/>
      <c r="D3" s="71" t="s">
        <v>108</v>
      </c>
      <c r="E3" s="71" t="s">
        <v>109</v>
      </c>
      <c r="F3" s="71"/>
      <c r="G3" s="72" t="s">
        <v>110</v>
      </c>
      <c r="H3" s="73" t="s">
        <v>111</v>
      </c>
      <c r="J3" s="74" t="s">
        <v>112</v>
      </c>
      <c r="K3" s="74" t="s">
        <v>113</v>
      </c>
      <c r="L3" s="75" t="s">
        <v>9</v>
      </c>
      <c r="M3" s="75" t="s">
        <v>114</v>
      </c>
      <c r="N3" s="75" t="s">
        <v>115</v>
      </c>
      <c r="O3" s="76" t="s">
        <v>116</v>
      </c>
      <c r="P3" s="76" t="s">
        <v>117</v>
      </c>
      <c r="Q3" s="76" t="s">
        <v>118</v>
      </c>
      <c r="R3" s="76" t="s">
        <v>119</v>
      </c>
      <c r="S3" s="76" t="s">
        <v>120</v>
      </c>
      <c r="T3" s="70"/>
      <c r="U3" s="77" t="s">
        <v>121</v>
      </c>
      <c r="V3" s="78" t="s">
        <v>122</v>
      </c>
      <c r="W3" s="79" t="s">
        <v>123</v>
      </c>
      <c r="X3" s="70"/>
      <c r="Y3" s="77" t="s">
        <v>124</v>
      </c>
      <c r="Z3" s="78" t="s">
        <v>13</v>
      </c>
      <c r="AB3" s="80" t="s">
        <v>125</v>
      </c>
      <c r="AC3" s="81" t="s">
        <v>9</v>
      </c>
      <c r="AD3" s="81" t="s">
        <v>126</v>
      </c>
      <c r="AE3" s="82" t="s">
        <v>127</v>
      </c>
      <c r="AF3" s="83"/>
      <c r="AG3" s="80" t="s">
        <v>9</v>
      </c>
      <c r="AH3" s="81" t="s">
        <v>128</v>
      </c>
      <c r="AI3" s="81" t="s">
        <v>17</v>
      </c>
      <c r="AJ3" s="82" t="s">
        <v>129</v>
      </c>
    </row>
    <row r="4" spans="1:37" x14ac:dyDescent="0.25">
      <c r="A4" s="70"/>
      <c r="B4" s="84" t="s">
        <v>51</v>
      </c>
      <c r="C4" s="70"/>
      <c r="D4" s="84" t="s">
        <v>130</v>
      </c>
      <c r="E4" s="84" t="s">
        <v>131</v>
      </c>
      <c r="F4" s="70"/>
      <c r="G4" s="66">
        <v>1</v>
      </c>
      <c r="H4" s="85" t="s">
        <v>132</v>
      </c>
      <c r="J4" s="65" t="s">
        <v>133</v>
      </c>
      <c r="K4" s="65" t="s">
        <v>134</v>
      </c>
      <c r="L4" s="65" t="s">
        <v>135</v>
      </c>
      <c r="M4" s="65" t="s">
        <v>136</v>
      </c>
      <c r="N4" s="65" t="s">
        <v>137</v>
      </c>
      <c r="O4" s="65" t="s">
        <v>138</v>
      </c>
      <c r="P4" s="65"/>
      <c r="Q4" s="65"/>
      <c r="R4" s="65">
        <f>Tabela393[[#This Row],[Atividade]]*Tabela393[[#This Row],[Quant.]]</f>
        <v>0</v>
      </c>
      <c r="S4" s="86"/>
      <c r="T4" s="87"/>
      <c r="U4" s="88" t="s">
        <v>139</v>
      </c>
      <c r="V4" s="89">
        <v>45987</v>
      </c>
      <c r="W4" s="90" t="s">
        <v>140</v>
      </c>
      <c r="X4" s="87"/>
      <c r="Y4" s="88" t="s">
        <v>141</v>
      </c>
      <c r="Z4" s="89" t="s">
        <v>142</v>
      </c>
      <c r="AB4" s="91" t="s">
        <v>143</v>
      </c>
      <c r="AC4" s="85" t="s">
        <v>34</v>
      </c>
      <c r="AD4" s="85" t="s">
        <v>144</v>
      </c>
      <c r="AE4" s="92">
        <v>92</v>
      </c>
      <c r="AF4" s="83"/>
      <c r="AG4" s="93" t="s">
        <v>145</v>
      </c>
      <c r="AH4" s="66" t="s">
        <v>146</v>
      </c>
      <c r="AI4" s="66" t="s">
        <v>147</v>
      </c>
      <c r="AJ4" s="94">
        <v>1</v>
      </c>
    </row>
    <row r="5" spans="1:37" x14ac:dyDescent="0.25">
      <c r="A5" s="70"/>
      <c r="B5" s="84" t="s">
        <v>52</v>
      </c>
      <c r="C5" s="70"/>
      <c r="D5" s="84" t="s">
        <v>148</v>
      </c>
      <c r="E5" s="84" t="s">
        <v>149</v>
      </c>
      <c r="F5" s="70"/>
      <c r="G5" s="66">
        <v>2</v>
      </c>
      <c r="H5" s="85" t="s">
        <v>150</v>
      </c>
      <c r="J5" s="65" t="s">
        <v>151</v>
      </c>
      <c r="K5" s="65" t="s">
        <v>134</v>
      </c>
      <c r="L5" s="65" t="s">
        <v>135</v>
      </c>
      <c r="M5" s="65" t="s">
        <v>136</v>
      </c>
      <c r="N5" s="65" t="s">
        <v>137</v>
      </c>
      <c r="O5" s="65" t="s">
        <v>152</v>
      </c>
      <c r="P5" s="65"/>
      <c r="Q5" s="65"/>
      <c r="R5" s="65">
        <f>Tabela393[[#This Row],[Atividade]]*Tabela393[[#This Row],[Quant.]]</f>
        <v>0</v>
      </c>
      <c r="S5" s="84"/>
      <c r="T5" s="70"/>
      <c r="U5" s="88" t="s">
        <v>153</v>
      </c>
      <c r="V5" s="89">
        <v>45987</v>
      </c>
      <c r="W5" s="90" t="s">
        <v>140</v>
      </c>
      <c r="X5" s="70"/>
      <c r="Y5" s="88" t="s">
        <v>154</v>
      </c>
      <c r="Z5" s="89" t="s">
        <v>142</v>
      </c>
      <c r="AB5" s="91" t="s">
        <v>155</v>
      </c>
      <c r="AC5" s="85" t="s">
        <v>32</v>
      </c>
      <c r="AD5" s="85" t="s">
        <v>144</v>
      </c>
      <c r="AE5" s="92">
        <v>29</v>
      </c>
      <c r="AF5" s="83"/>
      <c r="AG5" s="93" t="s">
        <v>145</v>
      </c>
      <c r="AH5" s="66" t="s">
        <v>146</v>
      </c>
      <c r="AI5" s="66" t="s">
        <v>156</v>
      </c>
      <c r="AJ5" s="94">
        <v>1</v>
      </c>
    </row>
    <row r="6" spans="1:37" x14ac:dyDescent="0.25">
      <c r="A6" s="70"/>
      <c r="B6" s="84" t="s">
        <v>53</v>
      </c>
      <c r="C6" s="70"/>
      <c r="D6" s="84" t="s">
        <v>157</v>
      </c>
      <c r="E6" s="84" t="s">
        <v>158</v>
      </c>
      <c r="F6" s="70"/>
      <c r="G6" s="66">
        <v>3</v>
      </c>
      <c r="H6" s="85" t="s">
        <v>159</v>
      </c>
      <c r="J6" s="65" t="s">
        <v>160</v>
      </c>
      <c r="K6" s="65" t="s">
        <v>134</v>
      </c>
      <c r="L6" s="65" t="s">
        <v>135</v>
      </c>
      <c r="M6" s="65" t="s">
        <v>136</v>
      </c>
      <c r="N6" s="65" t="s">
        <v>137</v>
      </c>
      <c r="O6" s="65" t="s">
        <v>161</v>
      </c>
      <c r="P6" s="65"/>
      <c r="Q6" s="65"/>
      <c r="R6" s="65">
        <f>Tabela393[[#This Row],[Atividade]]*Tabela393[[#This Row],[Quant.]]</f>
        <v>0</v>
      </c>
      <c r="S6" s="84"/>
      <c r="T6" s="70"/>
      <c r="U6" s="88" t="s">
        <v>162</v>
      </c>
      <c r="V6" s="89">
        <v>45992</v>
      </c>
      <c r="W6" s="90" t="s">
        <v>163</v>
      </c>
      <c r="X6" s="70"/>
      <c r="Y6" s="88" t="s">
        <v>164</v>
      </c>
      <c r="Z6" s="89" t="s">
        <v>142</v>
      </c>
      <c r="AB6" s="91" t="s">
        <v>165</v>
      </c>
      <c r="AC6" s="85" t="s">
        <v>38</v>
      </c>
      <c r="AD6" s="85" t="s">
        <v>144</v>
      </c>
      <c r="AE6" s="92">
        <v>28</v>
      </c>
      <c r="AF6" s="83"/>
      <c r="AG6" s="93" t="s">
        <v>145</v>
      </c>
      <c r="AH6" s="66" t="s">
        <v>146</v>
      </c>
      <c r="AI6" s="66" t="s">
        <v>166</v>
      </c>
      <c r="AJ6" s="94">
        <v>1</v>
      </c>
    </row>
    <row r="7" spans="1:37" x14ac:dyDescent="0.25">
      <c r="A7" s="70"/>
      <c r="B7" s="84" t="s">
        <v>54</v>
      </c>
      <c r="C7" s="70"/>
      <c r="D7" s="84" t="s">
        <v>167</v>
      </c>
      <c r="E7" s="84" t="s">
        <v>168</v>
      </c>
      <c r="F7" s="70"/>
      <c r="G7" s="66">
        <v>4</v>
      </c>
      <c r="H7" s="85" t="s">
        <v>169</v>
      </c>
      <c r="J7" s="65" t="s">
        <v>170</v>
      </c>
      <c r="K7" s="65" t="s">
        <v>171</v>
      </c>
      <c r="L7" s="65" t="s">
        <v>135</v>
      </c>
      <c r="M7" s="65" t="s">
        <v>136</v>
      </c>
      <c r="N7" s="65" t="s">
        <v>137</v>
      </c>
      <c r="O7" s="65" t="s">
        <v>172</v>
      </c>
      <c r="P7" s="65"/>
      <c r="Q7" s="65"/>
      <c r="R7" s="65">
        <f>Tabela393[[#This Row],[Atividade]]*Tabela393[[#This Row],[Quant.]]</f>
        <v>0</v>
      </c>
      <c r="S7" s="84"/>
      <c r="T7" s="70"/>
      <c r="U7" s="88" t="s">
        <v>173</v>
      </c>
      <c r="V7" s="89">
        <v>45992</v>
      </c>
      <c r="W7" s="90" t="s">
        <v>163</v>
      </c>
      <c r="X7" s="70"/>
      <c r="Y7" s="88" t="s">
        <v>174</v>
      </c>
      <c r="Z7" s="89" t="s">
        <v>142</v>
      </c>
      <c r="AB7" s="91" t="s">
        <v>175</v>
      </c>
      <c r="AC7" s="85" t="s">
        <v>34</v>
      </c>
      <c r="AD7" s="85" t="s">
        <v>176</v>
      </c>
      <c r="AE7" s="92">
        <v>58</v>
      </c>
      <c r="AF7" s="83"/>
      <c r="AG7" s="93" t="s">
        <v>145</v>
      </c>
      <c r="AH7" s="66" t="s">
        <v>146</v>
      </c>
      <c r="AI7" s="66" t="s">
        <v>177</v>
      </c>
      <c r="AJ7" s="94">
        <v>1</v>
      </c>
    </row>
    <row r="8" spans="1:37" x14ac:dyDescent="0.25">
      <c r="A8" s="70"/>
      <c r="B8" s="84" t="s">
        <v>55</v>
      </c>
      <c r="C8" s="70"/>
      <c r="D8" s="84"/>
      <c r="E8" s="84"/>
      <c r="F8" s="70"/>
      <c r="G8" s="66">
        <v>5</v>
      </c>
      <c r="H8" s="85" t="s">
        <v>178</v>
      </c>
      <c r="J8" s="65" t="s">
        <v>179</v>
      </c>
      <c r="K8" s="65" t="s">
        <v>171</v>
      </c>
      <c r="L8" s="65" t="s">
        <v>135</v>
      </c>
      <c r="M8" s="65" t="s">
        <v>136</v>
      </c>
      <c r="N8" s="65" t="s">
        <v>137</v>
      </c>
      <c r="O8" s="65" t="s">
        <v>180</v>
      </c>
      <c r="P8" s="65"/>
      <c r="Q8" s="65"/>
      <c r="R8" s="65">
        <f>Tabela393[[#This Row],[Atividade]]*Tabela393[[#This Row],[Quant.]]</f>
        <v>0</v>
      </c>
      <c r="S8" s="84"/>
      <c r="T8" s="70"/>
      <c r="U8" s="88" t="s">
        <v>181</v>
      </c>
      <c r="V8" s="89">
        <v>45994</v>
      </c>
      <c r="W8" s="90" t="s">
        <v>163</v>
      </c>
      <c r="X8" s="70"/>
      <c r="Y8" s="88" t="s">
        <v>182</v>
      </c>
      <c r="Z8" s="89" t="s">
        <v>142</v>
      </c>
      <c r="AB8" s="91" t="s">
        <v>183</v>
      </c>
      <c r="AC8" s="85" t="s">
        <v>32</v>
      </c>
      <c r="AD8" s="85" t="s">
        <v>176</v>
      </c>
      <c r="AE8" s="92">
        <v>19</v>
      </c>
      <c r="AF8" s="83"/>
      <c r="AG8" s="93" t="s">
        <v>145</v>
      </c>
      <c r="AH8" s="66" t="s">
        <v>184</v>
      </c>
      <c r="AI8" s="66" t="s">
        <v>185</v>
      </c>
      <c r="AJ8" s="94">
        <v>1</v>
      </c>
    </row>
    <row r="9" spans="1:37" x14ac:dyDescent="0.25">
      <c r="A9" s="70"/>
      <c r="B9" s="84" t="s">
        <v>56</v>
      </c>
      <c r="C9" s="70"/>
      <c r="D9" s="84"/>
      <c r="E9" s="84"/>
      <c r="F9" s="70"/>
      <c r="G9" s="66">
        <v>6</v>
      </c>
      <c r="H9" s="85" t="s">
        <v>186</v>
      </c>
      <c r="J9" s="65" t="s">
        <v>187</v>
      </c>
      <c r="K9" s="65" t="s">
        <v>171</v>
      </c>
      <c r="L9" s="65" t="s">
        <v>135</v>
      </c>
      <c r="M9" s="65" t="s">
        <v>136</v>
      </c>
      <c r="N9" s="65" t="s">
        <v>137</v>
      </c>
      <c r="O9" s="65" t="s">
        <v>188</v>
      </c>
      <c r="P9" s="65"/>
      <c r="Q9" s="65"/>
      <c r="R9" s="65">
        <f>Tabela393[[#This Row],[Atividade]]*Tabela393[[#This Row],[Quant.]]</f>
        <v>0</v>
      </c>
      <c r="S9" s="84"/>
      <c r="T9" s="70"/>
      <c r="U9" s="88" t="s">
        <v>189</v>
      </c>
      <c r="V9" s="89">
        <v>45994</v>
      </c>
      <c r="W9" s="90" t="s">
        <v>163</v>
      </c>
      <c r="X9" s="70"/>
      <c r="Y9" s="88" t="s">
        <v>190</v>
      </c>
      <c r="Z9" s="89" t="s">
        <v>142</v>
      </c>
      <c r="AB9" s="95" t="s">
        <v>191</v>
      </c>
      <c r="AC9" s="96" t="s">
        <v>38</v>
      </c>
      <c r="AD9" s="96" t="s">
        <v>176</v>
      </c>
      <c r="AE9" s="97">
        <v>17</v>
      </c>
      <c r="AF9" s="83"/>
      <c r="AG9" s="93" t="s">
        <v>145</v>
      </c>
      <c r="AH9" s="66" t="s">
        <v>184</v>
      </c>
      <c r="AI9" s="66" t="s">
        <v>192</v>
      </c>
      <c r="AJ9" s="94">
        <v>1</v>
      </c>
    </row>
    <row r="10" spans="1:37" x14ac:dyDescent="0.25">
      <c r="A10" s="70"/>
      <c r="B10" s="84" t="s">
        <v>57</v>
      </c>
      <c r="C10" s="70"/>
      <c r="D10" s="84"/>
      <c r="E10" s="84"/>
      <c r="F10" s="70"/>
      <c r="G10" s="66">
        <v>7</v>
      </c>
      <c r="H10" s="85" t="s">
        <v>193</v>
      </c>
      <c r="J10" s="65" t="s">
        <v>194</v>
      </c>
      <c r="K10" s="65" t="s">
        <v>171</v>
      </c>
      <c r="L10" s="65" t="s">
        <v>135</v>
      </c>
      <c r="M10" s="65" t="s">
        <v>136</v>
      </c>
      <c r="N10" s="65" t="s">
        <v>137</v>
      </c>
      <c r="O10" s="65" t="s">
        <v>195</v>
      </c>
      <c r="P10" s="65"/>
      <c r="Q10" s="65"/>
      <c r="R10" s="65">
        <f>Tabela393[[#This Row],[Atividade]]*Tabela393[[#This Row],[Quant.]]</f>
        <v>0</v>
      </c>
      <c r="S10" s="84"/>
      <c r="T10" s="70"/>
      <c r="U10" s="88" t="s">
        <v>196</v>
      </c>
      <c r="V10" s="89">
        <v>45996</v>
      </c>
      <c r="W10" s="90" t="s">
        <v>163</v>
      </c>
      <c r="X10" s="70"/>
      <c r="Y10" s="88" t="s">
        <v>197</v>
      </c>
      <c r="Z10" s="89" t="s">
        <v>142</v>
      </c>
      <c r="AB10" s="83"/>
      <c r="AC10" s="83"/>
      <c r="AD10" s="83"/>
      <c r="AE10" s="83"/>
      <c r="AF10" s="83"/>
      <c r="AG10" s="93" t="s">
        <v>145</v>
      </c>
      <c r="AH10" s="66" t="s">
        <v>198</v>
      </c>
      <c r="AI10" s="66" t="s">
        <v>185</v>
      </c>
      <c r="AJ10" s="94">
        <v>1</v>
      </c>
    </row>
    <row r="11" spans="1:37" x14ac:dyDescent="0.25">
      <c r="A11" s="70"/>
      <c r="B11" s="84" t="s">
        <v>58</v>
      </c>
      <c r="C11" s="70"/>
      <c r="D11" s="84"/>
      <c r="E11" s="84"/>
      <c r="F11" s="70"/>
      <c r="J11" s="65" t="s">
        <v>199</v>
      </c>
      <c r="K11" s="65" t="s">
        <v>171</v>
      </c>
      <c r="L11" s="65" t="s">
        <v>135</v>
      </c>
      <c r="M11" s="65" t="s">
        <v>136</v>
      </c>
      <c r="N11" s="65" t="s">
        <v>137</v>
      </c>
      <c r="O11" s="65" t="s">
        <v>200</v>
      </c>
      <c r="P11" s="65"/>
      <c r="Q11" s="65"/>
      <c r="R11" s="65">
        <f>Tabela393[[#This Row],[Atividade]]*Tabela393[[#This Row],[Quant.]]</f>
        <v>0</v>
      </c>
      <c r="S11" s="84"/>
      <c r="T11" s="70"/>
      <c r="U11" s="88" t="s">
        <v>201</v>
      </c>
      <c r="V11" s="89">
        <v>45996</v>
      </c>
      <c r="W11" s="90" t="s">
        <v>163</v>
      </c>
      <c r="X11" s="70"/>
      <c r="Y11" s="88" t="s">
        <v>202</v>
      </c>
      <c r="Z11" s="89" t="s">
        <v>142</v>
      </c>
      <c r="AB11" s="83"/>
      <c r="AC11" s="83"/>
      <c r="AD11" s="83"/>
      <c r="AE11" s="83"/>
      <c r="AF11" s="83"/>
      <c r="AG11" s="93" t="s">
        <v>145</v>
      </c>
      <c r="AH11" s="66" t="s">
        <v>198</v>
      </c>
      <c r="AI11" s="66" t="s">
        <v>192</v>
      </c>
      <c r="AJ11" s="94">
        <v>1</v>
      </c>
    </row>
    <row r="12" spans="1:37" x14ac:dyDescent="0.25">
      <c r="A12" s="70"/>
      <c r="B12" s="84" t="s">
        <v>59</v>
      </c>
      <c r="C12" s="70"/>
      <c r="D12" s="84"/>
      <c r="E12" s="84"/>
      <c r="F12" s="70"/>
      <c r="J12" s="65" t="s">
        <v>203</v>
      </c>
      <c r="K12" s="65" t="s">
        <v>171</v>
      </c>
      <c r="L12" s="65" t="s">
        <v>135</v>
      </c>
      <c r="M12" s="65" t="s">
        <v>136</v>
      </c>
      <c r="N12" s="65" t="s">
        <v>137</v>
      </c>
      <c r="O12" s="65" t="s">
        <v>204</v>
      </c>
      <c r="P12" s="65"/>
      <c r="Q12" s="65"/>
      <c r="R12" s="65">
        <f>Tabela393[[#This Row],[Atividade]]*Tabela393[[#This Row],[Quant.]]</f>
        <v>0</v>
      </c>
      <c r="S12" s="84"/>
      <c r="T12" s="70"/>
      <c r="U12" s="88" t="s">
        <v>205</v>
      </c>
      <c r="V12" s="89">
        <v>46001</v>
      </c>
      <c r="W12" s="90" t="s">
        <v>163</v>
      </c>
      <c r="X12" s="70"/>
      <c r="Y12" s="88" t="s">
        <v>206</v>
      </c>
      <c r="Z12" s="89" t="s">
        <v>207</v>
      </c>
      <c r="AB12" s="83"/>
      <c r="AC12" s="83"/>
      <c r="AD12" s="83"/>
      <c r="AE12" s="83"/>
      <c r="AF12" s="83"/>
      <c r="AG12" s="93" t="s">
        <v>145</v>
      </c>
      <c r="AH12" s="66" t="s">
        <v>198</v>
      </c>
      <c r="AI12" s="66" t="s">
        <v>208</v>
      </c>
      <c r="AJ12" s="94">
        <v>2</v>
      </c>
    </row>
    <row r="13" spans="1:37" x14ac:dyDescent="0.25">
      <c r="A13" s="70"/>
      <c r="B13" s="84" t="s">
        <v>60</v>
      </c>
      <c r="C13" s="70"/>
      <c r="D13" s="84"/>
      <c r="E13" s="84"/>
      <c r="F13" s="70"/>
      <c r="J13" s="65" t="s">
        <v>209</v>
      </c>
      <c r="K13" s="65" t="s">
        <v>171</v>
      </c>
      <c r="L13" s="65" t="s">
        <v>135</v>
      </c>
      <c r="M13" s="65" t="s">
        <v>136</v>
      </c>
      <c r="N13" s="65" t="s">
        <v>137</v>
      </c>
      <c r="O13" s="65" t="s">
        <v>210</v>
      </c>
      <c r="P13" s="65"/>
      <c r="Q13" s="65"/>
      <c r="R13" s="65">
        <f>Tabela393[[#This Row],[Atividade]]*Tabela393[[#This Row],[Quant.]]</f>
        <v>0</v>
      </c>
      <c r="S13" s="84"/>
      <c r="T13" s="70"/>
      <c r="U13" s="88" t="s">
        <v>211</v>
      </c>
      <c r="V13" s="89">
        <v>46001</v>
      </c>
      <c r="W13" s="90" t="s">
        <v>163</v>
      </c>
      <c r="X13" s="70"/>
      <c r="Y13" s="88" t="s">
        <v>212</v>
      </c>
      <c r="Z13" s="89" t="s">
        <v>207</v>
      </c>
      <c r="AB13" s="83"/>
      <c r="AC13" s="83"/>
      <c r="AD13" s="83"/>
      <c r="AE13" s="83"/>
      <c r="AF13" s="83"/>
      <c r="AG13" s="93" t="s">
        <v>145</v>
      </c>
      <c r="AH13" s="66" t="s">
        <v>213</v>
      </c>
      <c r="AI13" s="66" t="s">
        <v>185</v>
      </c>
      <c r="AJ13" s="94">
        <v>1</v>
      </c>
    </row>
    <row r="14" spans="1:37" x14ac:dyDescent="0.25">
      <c r="A14" s="70"/>
      <c r="B14" s="84" t="s">
        <v>61</v>
      </c>
      <c r="C14" s="70"/>
      <c r="D14" s="84"/>
      <c r="E14" s="84"/>
      <c r="F14" s="70"/>
      <c r="J14" s="65" t="s">
        <v>214</v>
      </c>
      <c r="K14" s="65" t="s">
        <v>134</v>
      </c>
      <c r="L14" s="65" t="s">
        <v>135</v>
      </c>
      <c r="M14" s="65" t="s">
        <v>136</v>
      </c>
      <c r="N14" s="65" t="s">
        <v>137</v>
      </c>
      <c r="O14" s="65" t="s">
        <v>215</v>
      </c>
      <c r="P14" s="65"/>
      <c r="Q14" s="65"/>
      <c r="R14" s="65">
        <f>Tabela393[[#This Row],[Atividade]]*Tabela393[[#This Row],[Quant.]]</f>
        <v>0</v>
      </c>
      <c r="S14" s="84"/>
      <c r="T14" s="70"/>
      <c r="U14" s="88" t="s">
        <v>216</v>
      </c>
      <c r="V14" s="89">
        <v>46003</v>
      </c>
      <c r="W14" s="90" t="s">
        <v>163</v>
      </c>
      <c r="X14" s="70"/>
      <c r="Y14" s="88"/>
      <c r="Z14" s="89"/>
      <c r="AB14" s="83"/>
      <c r="AC14" s="83"/>
      <c r="AD14" s="83"/>
      <c r="AE14" s="83"/>
      <c r="AF14" s="83"/>
      <c r="AG14" s="93" t="s">
        <v>145</v>
      </c>
      <c r="AH14" s="66" t="s">
        <v>217</v>
      </c>
      <c r="AI14" s="66" t="s">
        <v>185</v>
      </c>
      <c r="AJ14" s="94">
        <v>1</v>
      </c>
    </row>
    <row r="15" spans="1:37" x14ac:dyDescent="0.25">
      <c r="A15" s="70"/>
      <c r="B15" s="84" t="s">
        <v>62</v>
      </c>
      <c r="C15" s="70"/>
      <c r="D15" s="84"/>
      <c r="E15" s="84"/>
      <c r="F15" s="70"/>
      <c r="J15" s="65" t="s">
        <v>218</v>
      </c>
      <c r="K15" s="65" t="s">
        <v>134</v>
      </c>
      <c r="L15" s="65" t="s">
        <v>135</v>
      </c>
      <c r="M15" s="65" t="s">
        <v>136</v>
      </c>
      <c r="N15" s="65" t="s">
        <v>137</v>
      </c>
      <c r="O15" s="65" t="s">
        <v>219</v>
      </c>
      <c r="P15" s="65"/>
      <c r="Q15" s="65"/>
      <c r="R15" s="65">
        <f>Tabela393[[#This Row],[Atividade]]*Tabela393[[#This Row],[Quant.]]</f>
        <v>0</v>
      </c>
      <c r="S15" s="84"/>
      <c r="T15" s="70"/>
      <c r="U15" s="88" t="s">
        <v>220</v>
      </c>
      <c r="V15" s="89">
        <v>46003</v>
      </c>
      <c r="W15" s="90" t="s">
        <v>163</v>
      </c>
      <c r="X15" s="70"/>
      <c r="Y15" s="88"/>
      <c r="Z15" s="89"/>
      <c r="AB15" s="83"/>
      <c r="AC15" s="83"/>
      <c r="AD15" s="83"/>
      <c r="AE15" s="83"/>
      <c r="AF15" s="83"/>
      <c r="AG15" s="93" t="s">
        <v>145</v>
      </c>
      <c r="AH15" s="66" t="s">
        <v>221</v>
      </c>
      <c r="AI15" s="66" t="s">
        <v>185</v>
      </c>
      <c r="AJ15" s="94">
        <v>1</v>
      </c>
    </row>
    <row r="16" spans="1:37" x14ac:dyDescent="0.25">
      <c r="A16" s="70"/>
      <c r="B16" s="84" t="s">
        <v>63</v>
      </c>
      <c r="C16" s="70"/>
      <c r="D16" s="84"/>
      <c r="E16" s="84"/>
      <c r="F16" s="70"/>
      <c r="J16" s="65" t="s">
        <v>222</v>
      </c>
      <c r="K16" s="65" t="s">
        <v>134</v>
      </c>
      <c r="L16" s="65" t="s">
        <v>135</v>
      </c>
      <c r="M16" s="65" t="s">
        <v>136</v>
      </c>
      <c r="N16" s="65" t="s">
        <v>137</v>
      </c>
      <c r="O16" s="65" t="s">
        <v>223</v>
      </c>
      <c r="P16" s="65"/>
      <c r="Q16" s="65"/>
      <c r="R16" s="65">
        <f>Tabela393[[#This Row],[Atividade]]*Tabela393[[#This Row],[Quant.]]</f>
        <v>0</v>
      </c>
      <c r="S16" s="84"/>
      <c r="T16" s="70"/>
      <c r="U16" s="88" t="s">
        <v>224</v>
      </c>
      <c r="V16" s="89">
        <v>46007</v>
      </c>
      <c r="W16" s="90" t="s">
        <v>163</v>
      </c>
      <c r="X16" s="70"/>
      <c r="AB16" s="83"/>
      <c r="AC16" s="83"/>
      <c r="AD16" s="83"/>
      <c r="AE16" s="83"/>
      <c r="AF16" s="83"/>
      <c r="AG16" s="93" t="s">
        <v>145</v>
      </c>
      <c r="AH16" s="66" t="s">
        <v>221</v>
      </c>
      <c r="AI16" s="66" t="s">
        <v>192</v>
      </c>
      <c r="AJ16" s="94">
        <v>1</v>
      </c>
    </row>
    <row r="17" spans="1:36" x14ac:dyDescent="0.25">
      <c r="A17" s="70"/>
      <c r="B17" s="84" t="s">
        <v>64</v>
      </c>
      <c r="C17" s="70"/>
      <c r="D17" s="84"/>
      <c r="E17" s="84"/>
      <c r="F17" s="70"/>
      <c r="J17" s="65" t="s">
        <v>225</v>
      </c>
      <c r="K17" s="65" t="s">
        <v>134</v>
      </c>
      <c r="L17" s="65" t="s">
        <v>135</v>
      </c>
      <c r="M17" s="65" t="s">
        <v>136</v>
      </c>
      <c r="N17" s="65" t="s">
        <v>137</v>
      </c>
      <c r="O17" s="65" t="s">
        <v>226</v>
      </c>
      <c r="P17" s="65"/>
      <c r="Q17" s="65"/>
      <c r="R17" s="65">
        <f>Tabela393[[#This Row],[Atividade]]*Tabela393[[#This Row],[Quant.]]</f>
        <v>0</v>
      </c>
      <c r="S17" s="84"/>
      <c r="T17" s="70"/>
      <c r="U17" s="88" t="s">
        <v>227</v>
      </c>
      <c r="V17" s="89">
        <v>46007</v>
      </c>
      <c r="W17" s="90" t="s">
        <v>163</v>
      </c>
      <c r="X17" s="70"/>
      <c r="AB17" s="83"/>
      <c r="AC17" s="83"/>
      <c r="AD17" s="83"/>
      <c r="AE17" s="83"/>
      <c r="AF17" s="83"/>
      <c r="AG17" s="93" t="s">
        <v>145</v>
      </c>
      <c r="AH17" s="66" t="s">
        <v>228</v>
      </c>
      <c r="AI17" s="66" t="s">
        <v>185</v>
      </c>
      <c r="AJ17" s="94">
        <v>1</v>
      </c>
    </row>
    <row r="18" spans="1:36" x14ac:dyDescent="0.25">
      <c r="A18" s="70"/>
      <c r="B18" s="84" t="s">
        <v>65</v>
      </c>
      <c r="C18" s="70"/>
      <c r="D18" s="84"/>
      <c r="E18" s="84"/>
      <c r="F18" s="70"/>
      <c r="J18" s="65" t="s">
        <v>229</v>
      </c>
      <c r="K18" s="65" t="s">
        <v>134</v>
      </c>
      <c r="L18" s="65" t="s">
        <v>135</v>
      </c>
      <c r="M18" s="65" t="s">
        <v>136</v>
      </c>
      <c r="N18" s="65" t="s">
        <v>137</v>
      </c>
      <c r="O18" s="65" t="s">
        <v>230</v>
      </c>
      <c r="P18" s="65"/>
      <c r="Q18" s="65"/>
      <c r="R18" s="65">
        <f>Tabela393[[#This Row],[Atividade]]*Tabela393[[#This Row],[Quant.]]</f>
        <v>0</v>
      </c>
      <c r="S18" s="84"/>
      <c r="T18" s="70"/>
      <c r="U18" s="88" t="s">
        <v>231</v>
      </c>
      <c r="V18" s="89">
        <v>46009</v>
      </c>
      <c r="W18" s="90" t="s">
        <v>163</v>
      </c>
      <c r="X18" s="70"/>
      <c r="AB18" s="83"/>
      <c r="AC18" s="83"/>
      <c r="AD18" s="83"/>
      <c r="AE18" s="83"/>
      <c r="AF18" s="83"/>
      <c r="AG18" s="93" t="s">
        <v>145</v>
      </c>
      <c r="AH18" s="66" t="s">
        <v>228</v>
      </c>
      <c r="AI18" s="66" t="s">
        <v>192</v>
      </c>
      <c r="AJ18" s="94">
        <v>1</v>
      </c>
    </row>
    <row r="19" spans="1:36" x14ac:dyDescent="0.25">
      <c r="A19" s="70"/>
      <c r="B19" s="84" t="s">
        <v>66</v>
      </c>
      <c r="C19" s="70"/>
      <c r="D19" s="84"/>
      <c r="E19" s="84"/>
      <c r="F19" s="70"/>
      <c r="J19" s="65" t="s">
        <v>232</v>
      </c>
      <c r="K19" s="65" t="s">
        <v>134</v>
      </c>
      <c r="L19" s="65" t="s">
        <v>135</v>
      </c>
      <c r="M19" s="65" t="s">
        <v>136</v>
      </c>
      <c r="N19" s="65" t="s">
        <v>233</v>
      </c>
      <c r="O19" s="65" t="s">
        <v>138</v>
      </c>
      <c r="P19" s="65"/>
      <c r="Q19" s="65"/>
      <c r="R19" s="65">
        <f>Tabela393[[#This Row],[Atividade]]*Tabela393[[#This Row],[Quant.]]</f>
        <v>0</v>
      </c>
      <c r="S19" s="84"/>
      <c r="T19" s="70"/>
      <c r="U19" s="98" t="s">
        <v>234</v>
      </c>
      <c r="V19" s="89">
        <v>46009</v>
      </c>
      <c r="W19" s="90" t="s">
        <v>163</v>
      </c>
      <c r="X19" s="70"/>
      <c r="AB19" s="83"/>
      <c r="AC19" s="83"/>
      <c r="AD19" s="83"/>
      <c r="AE19" s="83"/>
      <c r="AF19" s="83"/>
      <c r="AG19" s="93" t="s">
        <v>145</v>
      </c>
      <c r="AH19" s="66" t="s">
        <v>235</v>
      </c>
      <c r="AI19" s="66"/>
      <c r="AJ19" s="94">
        <v>1</v>
      </c>
    </row>
    <row r="20" spans="1:36" x14ac:dyDescent="0.25">
      <c r="A20" s="70"/>
      <c r="B20" s="84" t="s">
        <v>67</v>
      </c>
      <c r="C20" s="70"/>
      <c r="D20" s="84"/>
      <c r="E20" s="84"/>
      <c r="F20" s="70"/>
      <c r="J20" s="65" t="s">
        <v>236</v>
      </c>
      <c r="K20" s="65" t="s">
        <v>134</v>
      </c>
      <c r="L20" s="65" t="s">
        <v>135</v>
      </c>
      <c r="M20" s="65" t="s">
        <v>136</v>
      </c>
      <c r="N20" s="65" t="s">
        <v>233</v>
      </c>
      <c r="O20" s="65" t="s">
        <v>152</v>
      </c>
      <c r="P20" s="65"/>
      <c r="Q20" s="65"/>
      <c r="R20" s="65">
        <f>Tabela393[[#This Row],[Atividade]]*Tabela393[[#This Row],[Quant.]]</f>
        <v>0</v>
      </c>
      <c r="S20" s="84"/>
      <c r="T20" s="70"/>
      <c r="X20" s="70"/>
      <c r="AB20" s="83"/>
      <c r="AC20" s="83"/>
      <c r="AD20" s="83"/>
      <c r="AE20" s="83"/>
      <c r="AF20" s="83"/>
      <c r="AG20" s="93" t="s">
        <v>145</v>
      </c>
      <c r="AH20" s="66" t="s">
        <v>235</v>
      </c>
      <c r="AI20" s="66" t="s">
        <v>237</v>
      </c>
      <c r="AJ20" s="94">
        <v>1</v>
      </c>
    </row>
    <row r="21" spans="1:36" x14ac:dyDescent="0.25">
      <c r="A21" s="70"/>
      <c r="B21" s="84" t="s">
        <v>68</v>
      </c>
      <c r="C21" s="70"/>
      <c r="D21" s="84"/>
      <c r="E21" s="84"/>
      <c r="F21" s="70"/>
      <c r="J21" s="65" t="s">
        <v>238</v>
      </c>
      <c r="K21" s="65" t="s">
        <v>134</v>
      </c>
      <c r="L21" s="65" t="s">
        <v>135</v>
      </c>
      <c r="M21" s="65" t="s">
        <v>136</v>
      </c>
      <c r="N21" s="65" t="s">
        <v>233</v>
      </c>
      <c r="O21" s="65" t="s">
        <v>161</v>
      </c>
      <c r="P21" s="65"/>
      <c r="Q21" s="65"/>
      <c r="R21" s="65">
        <f>Tabela393[[#This Row],[Atividade]]*Tabela393[[#This Row],[Quant.]]</f>
        <v>0</v>
      </c>
      <c r="S21" s="84"/>
      <c r="T21" s="70"/>
      <c r="X21" s="70"/>
      <c r="AB21" s="83"/>
      <c r="AC21" s="83"/>
      <c r="AD21" s="83"/>
      <c r="AE21" s="83"/>
      <c r="AF21" s="83"/>
      <c r="AG21" s="93" t="s">
        <v>145</v>
      </c>
      <c r="AH21" s="66" t="s">
        <v>235</v>
      </c>
      <c r="AI21" s="66" t="s">
        <v>239</v>
      </c>
      <c r="AJ21" s="94">
        <v>1</v>
      </c>
    </row>
    <row r="22" spans="1:36" x14ac:dyDescent="0.25">
      <c r="A22" s="70"/>
      <c r="B22" s="84"/>
      <c r="C22" s="70"/>
      <c r="D22" s="84"/>
      <c r="E22" s="84"/>
      <c r="F22" s="70"/>
      <c r="J22" s="65" t="s">
        <v>240</v>
      </c>
      <c r="K22" s="65" t="s">
        <v>134</v>
      </c>
      <c r="L22" s="65" t="s">
        <v>135</v>
      </c>
      <c r="M22" s="65" t="s">
        <v>136</v>
      </c>
      <c r="N22" s="65" t="s">
        <v>233</v>
      </c>
      <c r="O22" s="65" t="s">
        <v>172</v>
      </c>
      <c r="P22" s="65"/>
      <c r="Q22" s="65"/>
      <c r="R22" s="65">
        <f>Tabela393[[#This Row],[Atividade]]*Tabela393[[#This Row],[Quant.]]</f>
        <v>0</v>
      </c>
      <c r="S22" s="84"/>
      <c r="T22" s="70"/>
      <c r="X22" s="70"/>
      <c r="AB22" s="83"/>
      <c r="AC22" s="83"/>
      <c r="AD22" s="83"/>
      <c r="AE22" s="83"/>
      <c r="AF22" s="83"/>
      <c r="AG22" s="93" t="s">
        <v>145</v>
      </c>
      <c r="AH22" s="66" t="s">
        <v>235</v>
      </c>
      <c r="AI22" s="66" t="s">
        <v>241</v>
      </c>
      <c r="AJ22" s="94">
        <v>1</v>
      </c>
    </row>
    <row r="23" spans="1:36" x14ac:dyDescent="0.25">
      <c r="A23" s="70"/>
      <c r="B23" s="84"/>
      <c r="C23" s="70"/>
      <c r="D23" s="84"/>
      <c r="E23" s="84"/>
      <c r="F23" s="70"/>
      <c r="J23" s="65" t="s">
        <v>242</v>
      </c>
      <c r="K23" s="65" t="s">
        <v>134</v>
      </c>
      <c r="L23" s="65" t="s">
        <v>135</v>
      </c>
      <c r="M23" s="65" t="s">
        <v>136</v>
      </c>
      <c r="N23" s="65" t="s">
        <v>233</v>
      </c>
      <c r="O23" s="65" t="s">
        <v>180</v>
      </c>
      <c r="P23" s="65"/>
      <c r="Q23" s="65"/>
      <c r="R23" s="65">
        <f>Tabela393[[#This Row],[Atividade]]*Tabela393[[#This Row],[Quant.]]</f>
        <v>0</v>
      </c>
      <c r="S23" s="84"/>
      <c r="T23" s="70"/>
      <c r="X23" s="70"/>
      <c r="AB23" s="83"/>
      <c r="AC23" s="83"/>
      <c r="AD23" s="83"/>
      <c r="AE23" s="83"/>
      <c r="AF23" s="83"/>
      <c r="AG23" s="93" t="s">
        <v>145</v>
      </c>
      <c r="AH23" s="66" t="s">
        <v>235</v>
      </c>
      <c r="AI23" s="66" t="s">
        <v>243</v>
      </c>
      <c r="AJ23" s="94">
        <v>1</v>
      </c>
    </row>
    <row r="24" spans="1:36" x14ac:dyDescent="0.25">
      <c r="A24" s="70"/>
      <c r="B24" s="84"/>
      <c r="C24" s="70"/>
      <c r="D24" s="84"/>
      <c r="E24" s="84"/>
      <c r="F24" s="70"/>
      <c r="J24" s="65" t="s">
        <v>244</v>
      </c>
      <c r="K24" s="65" t="s">
        <v>134</v>
      </c>
      <c r="L24" s="65" t="s">
        <v>135</v>
      </c>
      <c r="M24" s="65" t="s">
        <v>136</v>
      </c>
      <c r="N24" s="65" t="s">
        <v>233</v>
      </c>
      <c r="O24" s="65" t="s">
        <v>188</v>
      </c>
      <c r="P24" s="65"/>
      <c r="Q24" s="65"/>
      <c r="R24" s="65">
        <f>Tabela393[[#This Row],[Atividade]]*Tabela393[[#This Row],[Quant.]]</f>
        <v>0</v>
      </c>
      <c r="S24" s="84"/>
      <c r="T24" s="70"/>
      <c r="X24" s="70"/>
      <c r="AB24" s="83"/>
      <c r="AC24" s="83"/>
      <c r="AD24" s="83"/>
      <c r="AE24" s="83"/>
      <c r="AF24" s="83"/>
      <c r="AG24" s="93" t="s">
        <v>145</v>
      </c>
      <c r="AH24" s="66" t="s">
        <v>235</v>
      </c>
      <c r="AI24" s="66" t="s">
        <v>245</v>
      </c>
      <c r="AJ24" s="94">
        <v>1</v>
      </c>
    </row>
    <row r="25" spans="1:36" x14ac:dyDescent="0.25">
      <c r="A25" s="70"/>
      <c r="B25" s="84"/>
      <c r="C25" s="70"/>
      <c r="D25" s="84"/>
      <c r="E25" s="84"/>
      <c r="F25" s="70"/>
      <c r="J25" s="65" t="s">
        <v>246</v>
      </c>
      <c r="K25" s="65" t="s">
        <v>134</v>
      </c>
      <c r="L25" s="65" t="s">
        <v>135</v>
      </c>
      <c r="M25" s="65" t="s">
        <v>136</v>
      </c>
      <c r="N25" s="65" t="s">
        <v>233</v>
      </c>
      <c r="O25" s="65" t="s">
        <v>195</v>
      </c>
      <c r="P25" s="65"/>
      <c r="Q25" s="65"/>
      <c r="R25" s="65">
        <f>Tabela393[[#This Row],[Atividade]]*Tabela393[[#This Row],[Quant.]]</f>
        <v>0</v>
      </c>
      <c r="S25" s="84"/>
      <c r="T25" s="70"/>
      <c r="X25" s="70"/>
      <c r="AB25" s="83"/>
      <c r="AC25" s="83"/>
      <c r="AD25" s="83"/>
      <c r="AE25" s="83"/>
      <c r="AF25" s="83"/>
      <c r="AG25" s="93" t="s">
        <v>145</v>
      </c>
      <c r="AH25" s="66" t="s">
        <v>235</v>
      </c>
      <c r="AI25" s="66" t="s">
        <v>247</v>
      </c>
      <c r="AJ25" s="94">
        <v>1</v>
      </c>
    </row>
    <row r="26" spans="1:36" x14ac:dyDescent="0.25">
      <c r="A26" s="70"/>
      <c r="B26" s="84"/>
      <c r="C26" s="70"/>
      <c r="D26" s="84"/>
      <c r="E26" s="84"/>
      <c r="F26" s="70"/>
      <c r="J26" s="65" t="s">
        <v>248</v>
      </c>
      <c r="K26" s="65" t="s">
        <v>134</v>
      </c>
      <c r="L26" s="65" t="s">
        <v>135</v>
      </c>
      <c r="M26" s="65" t="s">
        <v>136</v>
      </c>
      <c r="N26" s="65" t="s">
        <v>233</v>
      </c>
      <c r="O26" s="65" t="s">
        <v>200</v>
      </c>
      <c r="P26" s="65"/>
      <c r="Q26" s="65"/>
      <c r="R26" s="65">
        <f>Tabela393[[#This Row],[Atividade]]*Tabela393[[#This Row],[Quant.]]</f>
        <v>0</v>
      </c>
      <c r="S26" s="84"/>
      <c r="T26" s="70"/>
      <c r="X26" s="70"/>
      <c r="AB26" s="83"/>
      <c r="AC26" s="83"/>
      <c r="AD26" s="83"/>
      <c r="AE26" s="83"/>
      <c r="AF26" s="83"/>
      <c r="AG26" s="93" t="s">
        <v>145</v>
      </c>
      <c r="AH26" s="66" t="s">
        <v>235</v>
      </c>
      <c r="AI26" s="66" t="s">
        <v>249</v>
      </c>
      <c r="AJ26" s="94">
        <v>1</v>
      </c>
    </row>
    <row r="27" spans="1:36" x14ac:dyDescent="0.25">
      <c r="A27" s="70"/>
      <c r="B27" s="84"/>
      <c r="C27" s="70"/>
      <c r="D27" s="84"/>
      <c r="E27" s="84"/>
      <c r="F27" s="70"/>
      <c r="J27" s="65" t="s">
        <v>250</v>
      </c>
      <c r="K27" s="65" t="s">
        <v>171</v>
      </c>
      <c r="L27" s="65" t="s">
        <v>135</v>
      </c>
      <c r="M27" s="65" t="s">
        <v>136</v>
      </c>
      <c r="N27" s="65" t="s">
        <v>233</v>
      </c>
      <c r="O27" s="65" t="s">
        <v>204</v>
      </c>
      <c r="P27" s="65"/>
      <c r="Q27" s="65"/>
      <c r="R27" s="65">
        <f>Tabela393[[#This Row],[Atividade]]*Tabela393[[#This Row],[Quant.]]</f>
        <v>0</v>
      </c>
      <c r="S27" s="84"/>
      <c r="T27" s="70"/>
      <c r="X27" s="70"/>
      <c r="AB27" s="83"/>
      <c r="AC27" s="83"/>
      <c r="AD27" s="83"/>
      <c r="AE27" s="83"/>
      <c r="AF27" s="83"/>
      <c r="AG27" s="93" t="s">
        <v>145</v>
      </c>
      <c r="AH27" s="66" t="s">
        <v>235</v>
      </c>
      <c r="AI27" s="66" t="s">
        <v>251</v>
      </c>
      <c r="AJ27" s="94">
        <v>1</v>
      </c>
    </row>
    <row r="28" spans="1:36" x14ac:dyDescent="0.25">
      <c r="A28" s="70"/>
      <c r="B28" s="84"/>
      <c r="C28" s="70"/>
      <c r="D28" s="84"/>
      <c r="E28" s="84"/>
      <c r="F28" s="70"/>
      <c r="J28" s="65" t="s">
        <v>252</v>
      </c>
      <c r="K28" s="65" t="s">
        <v>171</v>
      </c>
      <c r="L28" s="65" t="s">
        <v>135</v>
      </c>
      <c r="M28" s="65" t="s">
        <v>136</v>
      </c>
      <c r="N28" s="65" t="s">
        <v>233</v>
      </c>
      <c r="O28" s="65" t="s">
        <v>210</v>
      </c>
      <c r="P28" s="65"/>
      <c r="Q28" s="65"/>
      <c r="R28" s="65">
        <f>Tabela393[[#This Row],[Atividade]]*Tabela393[[#This Row],[Quant.]]</f>
        <v>0</v>
      </c>
      <c r="S28" s="84"/>
      <c r="T28" s="70"/>
      <c r="X28" s="70"/>
      <c r="AB28" s="83"/>
      <c r="AC28" s="83"/>
      <c r="AD28" s="83"/>
      <c r="AE28" s="83"/>
      <c r="AF28" s="83"/>
      <c r="AG28" s="93" t="s">
        <v>145</v>
      </c>
      <c r="AH28" s="66" t="s">
        <v>253</v>
      </c>
      <c r="AI28" s="66" t="s">
        <v>96</v>
      </c>
      <c r="AJ28" s="94">
        <v>1</v>
      </c>
    </row>
    <row r="29" spans="1:36" x14ac:dyDescent="0.25">
      <c r="A29" s="70"/>
      <c r="B29" s="84"/>
      <c r="C29" s="70"/>
      <c r="D29" s="84"/>
      <c r="E29" s="84"/>
      <c r="F29" s="70"/>
      <c r="J29" s="65" t="s">
        <v>254</v>
      </c>
      <c r="K29" s="65" t="s">
        <v>171</v>
      </c>
      <c r="L29" s="65" t="s">
        <v>135</v>
      </c>
      <c r="M29" s="65" t="s">
        <v>136</v>
      </c>
      <c r="N29" s="65" t="s">
        <v>233</v>
      </c>
      <c r="O29" s="65" t="s">
        <v>215</v>
      </c>
      <c r="P29" s="65"/>
      <c r="Q29" s="65"/>
      <c r="R29" s="65">
        <f>Tabela393[[#This Row],[Atividade]]*Tabela393[[#This Row],[Quant.]]</f>
        <v>0</v>
      </c>
      <c r="S29" s="84"/>
      <c r="T29" s="70"/>
      <c r="X29" s="70"/>
      <c r="AB29" s="83"/>
      <c r="AC29" s="83"/>
      <c r="AD29" s="83"/>
      <c r="AE29" s="83"/>
      <c r="AF29" s="83"/>
      <c r="AG29" s="93" t="s">
        <v>145</v>
      </c>
      <c r="AH29" s="66" t="s">
        <v>253</v>
      </c>
      <c r="AI29" s="66" t="s">
        <v>95</v>
      </c>
      <c r="AJ29" s="94">
        <v>1</v>
      </c>
    </row>
    <row r="30" spans="1:36" x14ac:dyDescent="0.25">
      <c r="A30" s="70"/>
      <c r="B30" s="84"/>
      <c r="C30" s="70"/>
      <c r="D30" s="84"/>
      <c r="E30" s="84"/>
      <c r="F30" s="70"/>
      <c r="J30" s="65" t="s">
        <v>255</v>
      </c>
      <c r="K30" s="65" t="s">
        <v>171</v>
      </c>
      <c r="L30" s="65" t="s">
        <v>135</v>
      </c>
      <c r="M30" s="65" t="s">
        <v>136</v>
      </c>
      <c r="N30" s="65" t="s">
        <v>233</v>
      </c>
      <c r="O30" s="65" t="s">
        <v>219</v>
      </c>
      <c r="P30" s="65"/>
      <c r="Q30" s="65"/>
      <c r="R30" s="65">
        <f>Tabela393[[#This Row],[Atividade]]*Tabela393[[#This Row],[Quant.]]</f>
        <v>0</v>
      </c>
      <c r="S30" s="84"/>
      <c r="T30" s="70"/>
      <c r="X30" s="70"/>
      <c r="AB30" s="83"/>
      <c r="AC30" s="83"/>
      <c r="AD30" s="83"/>
      <c r="AE30" s="83"/>
      <c r="AF30" s="83"/>
      <c r="AG30" s="93" t="s">
        <v>145</v>
      </c>
      <c r="AH30" s="66" t="s">
        <v>253</v>
      </c>
      <c r="AI30" s="66" t="s">
        <v>94</v>
      </c>
      <c r="AJ30" s="94">
        <v>1</v>
      </c>
    </row>
    <row r="31" spans="1:36" x14ac:dyDescent="0.25">
      <c r="A31" s="70"/>
      <c r="B31" s="84"/>
      <c r="C31" s="70"/>
      <c r="D31" s="84"/>
      <c r="E31" s="84"/>
      <c r="F31" s="70"/>
      <c r="J31" s="65" t="s">
        <v>256</v>
      </c>
      <c r="K31" s="65" t="s">
        <v>171</v>
      </c>
      <c r="L31" s="65" t="s">
        <v>135</v>
      </c>
      <c r="M31" s="65" t="s">
        <v>136</v>
      </c>
      <c r="N31" s="65" t="s">
        <v>233</v>
      </c>
      <c r="O31" s="65" t="s">
        <v>223</v>
      </c>
      <c r="P31" s="65"/>
      <c r="Q31" s="65"/>
      <c r="R31" s="65">
        <f>Tabela393[[#This Row],[Atividade]]*Tabela393[[#This Row],[Quant.]]</f>
        <v>0</v>
      </c>
      <c r="S31" s="84"/>
      <c r="T31" s="70"/>
      <c r="X31" s="70"/>
      <c r="AB31" s="83"/>
      <c r="AC31" s="83"/>
      <c r="AD31" s="83"/>
      <c r="AE31" s="83"/>
      <c r="AF31" s="83"/>
      <c r="AG31" s="93" t="s">
        <v>145</v>
      </c>
      <c r="AH31" s="66" t="s">
        <v>253</v>
      </c>
      <c r="AI31" s="66" t="s">
        <v>93</v>
      </c>
      <c r="AJ31" s="94">
        <v>1</v>
      </c>
    </row>
    <row r="32" spans="1:36" x14ac:dyDescent="0.25">
      <c r="A32" s="70"/>
      <c r="B32" s="84"/>
      <c r="C32" s="70"/>
      <c r="D32" s="84"/>
      <c r="E32" s="84"/>
      <c r="F32" s="70"/>
      <c r="J32" s="65" t="s">
        <v>257</v>
      </c>
      <c r="K32" s="65" t="s">
        <v>171</v>
      </c>
      <c r="L32" s="65" t="s">
        <v>135</v>
      </c>
      <c r="M32" s="65" t="s">
        <v>136</v>
      </c>
      <c r="N32" s="65" t="s">
        <v>233</v>
      </c>
      <c r="O32" s="65" t="s">
        <v>226</v>
      </c>
      <c r="P32" s="65"/>
      <c r="Q32" s="65"/>
      <c r="R32" s="65">
        <f>Tabela393[[#This Row],[Atividade]]*Tabela393[[#This Row],[Quant.]]</f>
        <v>0</v>
      </c>
      <c r="S32" s="84"/>
      <c r="T32" s="70"/>
      <c r="X32" s="70"/>
      <c r="AB32" s="83"/>
      <c r="AC32" s="83"/>
      <c r="AD32" s="83"/>
      <c r="AE32" s="83"/>
      <c r="AF32" s="83"/>
      <c r="AG32" s="93" t="s">
        <v>145</v>
      </c>
      <c r="AH32" s="66" t="s">
        <v>253</v>
      </c>
      <c r="AI32" s="66" t="s">
        <v>92</v>
      </c>
      <c r="AJ32" s="94">
        <v>1</v>
      </c>
    </row>
    <row r="33" spans="1:36" x14ac:dyDescent="0.25">
      <c r="A33" s="70"/>
      <c r="B33" s="70"/>
      <c r="C33" s="70"/>
      <c r="D33" s="84"/>
      <c r="E33" s="84"/>
      <c r="F33" s="70"/>
      <c r="J33" s="65" t="s">
        <v>258</v>
      </c>
      <c r="K33" s="65" t="s">
        <v>171</v>
      </c>
      <c r="L33" s="65" t="s">
        <v>135</v>
      </c>
      <c r="M33" s="65" t="s">
        <v>136</v>
      </c>
      <c r="N33" s="65" t="s">
        <v>233</v>
      </c>
      <c r="O33" s="65" t="s">
        <v>230</v>
      </c>
      <c r="P33" s="65"/>
      <c r="Q33" s="65"/>
      <c r="R33" s="65">
        <f>Tabela393[[#This Row],[Atividade]]*Tabela393[[#This Row],[Quant.]]</f>
        <v>0</v>
      </c>
      <c r="S33" s="84"/>
      <c r="T33" s="70"/>
      <c r="X33" s="70"/>
      <c r="AB33" s="83"/>
      <c r="AC33" s="83"/>
      <c r="AD33" s="83"/>
      <c r="AE33" s="83"/>
      <c r="AF33" s="83"/>
      <c r="AG33" s="93" t="s">
        <v>145</v>
      </c>
      <c r="AH33" s="66" t="s">
        <v>253</v>
      </c>
      <c r="AI33" s="66" t="s">
        <v>91</v>
      </c>
      <c r="AJ33" s="94">
        <v>1</v>
      </c>
    </row>
    <row r="34" spans="1:36" x14ac:dyDescent="0.25">
      <c r="A34" s="70"/>
      <c r="B34" s="70"/>
      <c r="C34" s="70"/>
      <c r="D34" s="70"/>
      <c r="E34" s="70"/>
      <c r="F34" s="70"/>
      <c r="J34" s="65" t="s">
        <v>259</v>
      </c>
      <c r="K34" s="65" t="s">
        <v>171</v>
      </c>
      <c r="L34" s="65" t="s">
        <v>135</v>
      </c>
      <c r="M34" s="65" t="s">
        <v>136</v>
      </c>
      <c r="N34" s="65" t="s">
        <v>233</v>
      </c>
      <c r="O34" s="65" t="s">
        <v>260</v>
      </c>
      <c r="P34" s="65"/>
      <c r="Q34" s="65"/>
      <c r="R34" s="65">
        <f>Tabela393[[#This Row],[Atividade]]*Tabela393[[#This Row],[Quant.]]</f>
        <v>0</v>
      </c>
      <c r="S34" s="84"/>
      <c r="T34" s="70"/>
      <c r="X34" s="70"/>
      <c r="AB34" s="83"/>
      <c r="AC34" s="83"/>
      <c r="AD34" s="83"/>
      <c r="AE34" s="83"/>
      <c r="AF34" s="83"/>
      <c r="AG34" s="93" t="s">
        <v>145</v>
      </c>
      <c r="AH34" s="66" t="s">
        <v>253</v>
      </c>
      <c r="AI34" s="66" t="s">
        <v>90</v>
      </c>
      <c r="AJ34" s="94">
        <v>1</v>
      </c>
    </row>
    <row r="35" spans="1:36" x14ac:dyDescent="0.25">
      <c r="A35" s="70"/>
      <c r="B35" s="70"/>
      <c r="C35" s="70"/>
      <c r="D35" s="70"/>
      <c r="E35" s="70"/>
      <c r="F35" s="70"/>
      <c r="J35" s="65" t="s">
        <v>261</v>
      </c>
      <c r="K35" s="65" t="s">
        <v>171</v>
      </c>
      <c r="L35" s="65" t="s">
        <v>135</v>
      </c>
      <c r="M35" s="65" t="s">
        <v>136</v>
      </c>
      <c r="N35" s="65" t="s">
        <v>233</v>
      </c>
      <c r="O35" s="65" t="s">
        <v>262</v>
      </c>
      <c r="P35" s="65"/>
      <c r="Q35" s="65"/>
      <c r="R35" s="65">
        <f>Tabela393[[#This Row],[Atividade]]*Tabela393[[#This Row],[Quant.]]</f>
        <v>0</v>
      </c>
      <c r="S35" s="84"/>
      <c r="T35" s="70"/>
      <c r="X35" s="70"/>
      <c r="AB35" s="83"/>
      <c r="AC35" s="83"/>
      <c r="AD35" s="83"/>
      <c r="AE35" s="83"/>
      <c r="AF35" s="83"/>
      <c r="AG35" s="93" t="s">
        <v>145</v>
      </c>
      <c r="AH35" s="66" t="s">
        <v>253</v>
      </c>
      <c r="AI35" s="66" t="s">
        <v>89</v>
      </c>
      <c r="AJ35" s="94">
        <v>1</v>
      </c>
    </row>
    <row r="36" spans="1:36" x14ac:dyDescent="0.25">
      <c r="A36" s="70"/>
      <c r="B36" s="70"/>
      <c r="C36" s="70"/>
      <c r="D36" s="70"/>
      <c r="E36" s="70"/>
      <c r="F36" s="70"/>
      <c r="J36" s="65" t="s">
        <v>263</v>
      </c>
      <c r="K36" s="65" t="s">
        <v>171</v>
      </c>
      <c r="L36" s="65" t="s">
        <v>135</v>
      </c>
      <c r="M36" s="65" t="s">
        <v>136</v>
      </c>
      <c r="N36" s="65" t="s">
        <v>233</v>
      </c>
      <c r="O36" s="65" t="s">
        <v>264</v>
      </c>
      <c r="P36" s="65"/>
      <c r="Q36" s="65"/>
      <c r="R36" s="65">
        <f>Tabela393[[#This Row],[Atividade]]*Tabela393[[#This Row],[Quant.]]</f>
        <v>0</v>
      </c>
      <c r="S36" s="84"/>
      <c r="T36" s="70"/>
      <c r="X36" s="70"/>
      <c r="AB36" s="83"/>
      <c r="AC36" s="83"/>
      <c r="AD36" s="83"/>
      <c r="AE36" s="83"/>
      <c r="AF36" s="83"/>
      <c r="AG36" s="93" t="s">
        <v>145</v>
      </c>
      <c r="AH36" s="66" t="s">
        <v>253</v>
      </c>
      <c r="AI36" s="66" t="s">
        <v>88</v>
      </c>
      <c r="AJ36" s="94">
        <v>1</v>
      </c>
    </row>
    <row r="37" spans="1:36" x14ac:dyDescent="0.25">
      <c r="A37" s="70"/>
      <c r="B37" s="70"/>
      <c r="C37" s="70"/>
      <c r="D37" s="70"/>
      <c r="E37" s="70"/>
      <c r="F37" s="70"/>
      <c r="J37" s="65" t="s">
        <v>265</v>
      </c>
      <c r="K37" s="65" t="s">
        <v>171</v>
      </c>
      <c r="L37" s="65" t="s">
        <v>135</v>
      </c>
      <c r="M37" s="65" t="s">
        <v>136</v>
      </c>
      <c r="N37" s="65" t="s">
        <v>233</v>
      </c>
      <c r="O37" s="65" t="s">
        <v>266</v>
      </c>
      <c r="P37" s="65"/>
      <c r="Q37" s="65"/>
      <c r="R37" s="65">
        <f>Tabela393[[#This Row],[Atividade]]*Tabela393[[#This Row],[Quant.]]</f>
        <v>0</v>
      </c>
      <c r="S37" s="84"/>
      <c r="T37" s="70"/>
      <c r="X37" s="70"/>
      <c r="AB37" s="83"/>
      <c r="AC37" s="83"/>
      <c r="AD37" s="83"/>
      <c r="AE37" s="83"/>
      <c r="AF37" s="83"/>
      <c r="AG37" s="93" t="s">
        <v>145</v>
      </c>
      <c r="AH37" s="66" t="s">
        <v>253</v>
      </c>
      <c r="AI37" s="66" t="s">
        <v>87</v>
      </c>
      <c r="AJ37" s="94">
        <v>1</v>
      </c>
    </row>
    <row r="38" spans="1:36" x14ac:dyDescent="0.25">
      <c r="A38" s="70"/>
      <c r="B38" s="70"/>
      <c r="C38" s="70"/>
      <c r="D38" s="70"/>
      <c r="E38" s="70"/>
      <c r="F38" s="70"/>
      <c r="J38" s="65" t="s">
        <v>267</v>
      </c>
      <c r="K38" s="65" t="s">
        <v>171</v>
      </c>
      <c r="L38" s="65" t="s">
        <v>135</v>
      </c>
      <c r="M38" s="65" t="s">
        <v>136</v>
      </c>
      <c r="N38" s="65" t="s">
        <v>233</v>
      </c>
      <c r="O38" s="65" t="s">
        <v>268</v>
      </c>
      <c r="P38" s="65"/>
      <c r="Q38" s="65"/>
      <c r="R38" s="65">
        <f>Tabela393[[#This Row],[Atividade]]*Tabela393[[#This Row],[Quant.]]</f>
        <v>0</v>
      </c>
      <c r="S38" s="84"/>
      <c r="T38" s="70"/>
      <c r="X38" s="70"/>
      <c r="AB38" s="83"/>
      <c r="AC38" s="83"/>
      <c r="AD38" s="83"/>
      <c r="AE38" s="83"/>
      <c r="AF38" s="83"/>
      <c r="AG38" s="93" t="s">
        <v>145</v>
      </c>
      <c r="AH38" s="66" t="s">
        <v>253</v>
      </c>
      <c r="AI38" s="66" t="s">
        <v>86</v>
      </c>
      <c r="AJ38" s="94">
        <v>1</v>
      </c>
    </row>
    <row r="39" spans="1:36" x14ac:dyDescent="0.25">
      <c r="A39" s="70"/>
      <c r="B39" s="70"/>
      <c r="C39" s="70"/>
      <c r="D39" s="70"/>
      <c r="E39" s="70"/>
      <c r="F39" s="70"/>
      <c r="J39" s="65" t="s">
        <v>269</v>
      </c>
      <c r="K39" s="65" t="s">
        <v>134</v>
      </c>
      <c r="L39" s="65" t="s">
        <v>270</v>
      </c>
      <c r="M39" s="65" t="s">
        <v>136</v>
      </c>
      <c r="N39" s="65" t="s">
        <v>270</v>
      </c>
      <c r="O39" s="65" t="s">
        <v>138</v>
      </c>
      <c r="P39" s="65"/>
      <c r="Q39" s="65"/>
      <c r="R39" s="65">
        <f>Tabela393[[#This Row],[Atividade]]*Tabela393[[#This Row],[Quant.]]</f>
        <v>0</v>
      </c>
      <c r="S39" s="84"/>
      <c r="T39" s="70"/>
      <c r="X39" s="70"/>
      <c r="AB39" s="83"/>
      <c r="AC39" s="83"/>
      <c r="AD39" s="83"/>
      <c r="AE39" s="83"/>
      <c r="AF39" s="83"/>
      <c r="AG39" s="93" t="s">
        <v>145</v>
      </c>
      <c r="AH39" s="66" t="s">
        <v>253</v>
      </c>
      <c r="AI39" s="66" t="s">
        <v>85</v>
      </c>
      <c r="AJ39" s="94">
        <v>1</v>
      </c>
    </row>
    <row r="40" spans="1:36" x14ac:dyDescent="0.25">
      <c r="A40" s="70"/>
      <c r="B40" s="70"/>
      <c r="C40" s="70"/>
      <c r="D40" s="70"/>
      <c r="E40" s="70"/>
      <c r="F40" s="70"/>
      <c r="J40" s="65" t="s">
        <v>271</v>
      </c>
      <c r="K40" s="65" t="s">
        <v>134</v>
      </c>
      <c r="L40" s="65" t="s">
        <v>270</v>
      </c>
      <c r="M40" s="65" t="s">
        <v>136</v>
      </c>
      <c r="N40" s="65" t="s">
        <v>270</v>
      </c>
      <c r="O40" s="65" t="s">
        <v>152</v>
      </c>
      <c r="P40" s="65"/>
      <c r="Q40" s="65"/>
      <c r="R40" s="65">
        <f>Tabela393[[#This Row],[Atividade]]*Tabela393[[#This Row],[Quant.]]</f>
        <v>0</v>
      </c>
      <c r="S40" s="84"/>
      <c r="T40" s="70"/>
      <c r="X40" s="70"/>
      <c r="AB40" s="83"/>
      <c r="AC40" s="83"/>
      <c r="AD40" s="83"/>
      <c r="AE40" s="83"/>
      <c r="AF40" s="83"/>
      <c r="AG40" s="93" t="s">
        <v>145</v>
      </c>
      <c r="AH40" s="66" t="s">
        <v>253</v>
      </c>
      <c r="AI40" s="66" t="s">
        <v>84</v>
      </c>
      <c r="AJ40" s="94">
        <v>1</v>
      </c>
    </row>
    <row r="41" spans="1:36" x14ac:dyDescent="0.25">
      <c r="A41" s="70"/>
      <c r="B41" s="70"/>
      <c r="C41" s="70"/>
      <c r="D41" s="70"/>
      <c r="E41" s="70"/>
      <c r="F41" s="70"/>
      <c r="J41" s="65" t="s">
        <v>272</v>
      </c>
      <c r="K41" s="65" t="s">
        <v>134</v>
      </c>
      <c r="L41" s="65" t="s">
        <v>270</v>
      </c>
      <c r="M41" s="65" t="s">
        <v>136</v>
      </c>
      <c r="N41" s="65" t="s">
        <v>270</v>
      </c>
      <c r="O41" s="65" t="s">
        <v>161</v>
      </c>
      <c r="P41" s="65"/>
      <c r="Q41" s="65"/>
      <c r="R41" s="65">
        <f>Tabela393[[#This Row],[Atividade]]*Tabela393[[#This Row],[Quant.]]</f>
        <v>0</v>
      </c>
      <c r="S41" s="84"/>
      <c r="T41" s="70"/>
      <c r="X41" s="70"/>
      <c r="AB41" s="83"/>
      <c r="AC41" s="83"/>
      <c r="AD41" s="83"/>
      <c r="AE41" s="83"/>
      <c r="AF41" s="83"/>
      <c r="AG41" s="93" t="s">
        <v>145</v>
      </c>
      <c r="AH41" s="66" t="s">
        <v>253</v>
      </c>
      <c r="AI41" s="66" t="s">
        <v>83</v>
      </c>
      <c r="AJ41" s="94">
        <v>1</v>
      </c>
    </row>
    <row r="42" spans="1:36" x14ac:dyDescent="0.25">
      <c r="A42" s="70"/>
      <c r="B42" s="70"/>
      <c r="C42" s="70"/>
      <c r="D42" s="70"/>
      <c r="E42" s="70"/>
      <c r="F42" s="70"/>
      <c r="J42" s="65" t="s">
        <v>273</v>
      </c>
      <c r="K42" s="65" t="s">
        <v>134</v>
      </c>
      <c r="L42" s="65" t="s">
        <v>270</v>
      </c>
      <c r="M42" s="65" t="s">
        <v>136</v>
      </c>
      <c r="N42" s="65" t="s">
        <v>270</v>
      </c>
      <c r="O42" s="65" t="s">
        <v>172</v>
      </c>
      <c r="P42" s="65"/>
      <c r="Q42" s="65"/>
      <c r="R42" s="65">
        <f>Tabela393[[#This Row],[Atividade]]*Tabela393[[#This Row],[Quant.]]</f>
        <v>0</v>
      </c>
      <c r="S42" s="84"/>
      <c r="T42" s="70"/>
      <c r="X42" s="70"/>
      <c r="AB42" s="83"/>
      <c r="AC42" s="83"/>
      <c r="AD42" s="83"/>
      <c r="AE42" s="83"/>
      <c r="AF42" s="83"/>
      <c r="AG42" s="93" t="s">
        <v>145</v>
      </c>
      <c r="AH42" s="66" t="s">
        <v>253</v>
      </c>
      <c r="AI42" s="66" t="s">
        <v>82</v>
      </c>
      <c r="AJ42" s="94">
        <v>1</v>
      </c>
    </row>
    <row r="43" spans="1:36" x14ac:dyDescent="0.25">
      <c r="A43" s="70"/>
      <c r="B43" s="70"/>
      <c r="C43" s="70"/>
      <c r="D43" s="70"/>
      <c r="E43" s="70"/>
      <c r="F43" s="70"/>
      <c r="J43" s="65" t="s">
        <v>274</v>
      </c>
      <c r="K43" s="65" t="s">
        <v>134</v>
      </c>
      <c r="L43" s="65" t="s">
        <v>270</v>
      </c>
      <c r="M43" s="65" t="s">
        <v>136</v>
      </c>
      <c r="N43" s="65" t="s">
        <v>270</v>
      </c>
      <c r="O43" s="65" t="s">
        <v>180</v>
      </c>
      <c r="P43" s="65"/>
      <c r="Q43" s="65"/>
      <c r="R43" s="65">
        <f>Tabela393[[#This Row],[Atividade]]*Tabela393[[#This Row],[Quant.]]</f>
        <v>0</v>
      </c>
      <c r="S43" s="84"/>
      <c r="T43" s="70"/>
      <c r="X43" s="70"/>
      <c r="AB43" s="83"/>
      <c r="AC43" s="83"/>
      <c r="AD43" s="83"/>
      <c r="AE43" s="83"/>
      <c r="AF43" s="83"/>
      <c r="AG43" s="93" t="s">
        <v>145</v>
      </c>
      <c r="AH43" s="66" t="s">
        <v>275</v>
      </c>
      <c r="AI43" s="66" t="s">
        <v>96</v>
      </c>
      <c r="AJ43" s="94">
        <v>1</v>
      </c>
    </row>
    <row r="44" spans="1:36" x14ac:dyDescent="0.25">
      <c r="A44" s="70"/>
      <c r="B44" s="70"/>
      <c r="C44" s="70"/>
      <c r="D44" s="70"/>
      <c r="E44" s="70"/>
      <c r="F44" s="70"/>
      <c r="J44" s="65" t="s">
        <v>276</v>
      </c>
      <c r="K44" s="65" t="s">
        <v>134</v>
      </c>
      <c r="L44" s="65" t="s">
        <v>270</v>
      </c>
      <c r="M44" s="65" t="s">
        <v>136</v>
      </c>
      <c r="N44" s="65" t="s">
        <v>270</v>
      </c>
      <c r="O44" s="65" t="s">
        <v>188</v>
      </c>
      <c r="P44" s="65"/>
      <c r="Q44" s="65"/>
      <c r="R44" s="65">
        <f>Tabela393[[#This Row],[Atividade]]*Tabela393[[#This Row],[Quant.]]</f>
        <v>0</v>
      </c>
      <c r="S44" s="84"/>
      <c r="T44" s="70"/>
      <c r="X44" s="70"/>
      <c r="AB44" s="83"/>
      <c r="AC44" s="83"/>
      <c r="AD44" s="83"/>
      <c r="AE44" s="83"/>
      <c r="AF44" s="83"/>
      <c r="AG44" s="93" t="s">
        <v>145</v>
      </c>
      <c r="AH44" s="66" t="s">
        <v>275</v>
      </c>
      <c r="AI44" s="66" t="s">
        <v>95</v>
      </c>
      <c r="AJ44" s="94">
        <v>1</v>
      </c>
    </row>
    <row r="45" spans="1:36" x14ac:dyDescent="0.25">
      <c r="A45" s="70"/>
      <c r="B45" s="70"/>
      <c r="C45" s="70"/>
      <c r="D45" s="70"/>
      <c r="E45" s="70"/>
      <c r="F45" s="70"/>
      <c r="J45" s="65" t="s">
        <v>277</v>
      </c>
      <c r="K45" s="65" t="s">
        <v>134</v>
      </c>
      <c r="L45" s="65" t="s">
        <v>270</v>
      </c>
      <c r="M45" s="65" t="s">
        <v>136</v>
      </c>
      <c r="N45" s="65" t="s">
        <v>270</v>
      </c>
      <c r="O45" s="65" t="s">
        <v>195</v>
      </c>
      <c r="P45" s="65"/>
      <c r="Q45" s="65"/>
      <c r="R45" s="65">
        <f>Tabela393[[#This Row],[Atividade]]*Tabela393[[#This Row],[Quant.]]</f>
        <v>0</v>
      </c>
      <c r="S45" s="84"/>
      <c r="T45" s="70"/>
      <c r="X45" s="70"/>
      <c r="AB45" s="83"/>
      <c r="AC45" s="83"/>
      <c r="AD45" s="83"/>
      <c r="AE45" s="83"/>
      <c r="AF45" s="83"/>
      <c r="AG45" s="93" t="s">
        <v>145</v>
      </c>
      <c r="AH45" s="66" t="s">
        <v>275</v>
      </c>
      <c r="AI45" s="66" t="s">
        <v>94</v>
      </c>
      <c r="AJ45" s="94">
        <v>1</v>
      </c>
    </row>
    <row r="46" spans="1:36" x14ac:dyDescent="0.25">
      <c r="A46" s="70"/>
      <c r="B46" s="70"/>
      <c r="C46" s="70"/>
      <c r="D46" s="70"/>
      <c r="E46" s="70"/>
      <c r="F46" s="70"/>
      <c r="J46" s="65" t="s">
        <v>278</v>
      </c>
      <c r="K46" s="65" t="s">
        <v>134</v>
      </c>
      <c r="L46" s="65" t="s">
        <v>270</v>
      </c>
      <c r="M46" s="65" t="s">
        <v>136</v>
      </c>
      <c r="N46" s="65" t="s">
        <v>270</v>
      </c>
      <c r="O46" s="65" t="s">
        <v>200</v>
      </c>
      <c r="P46" s="65"/>
      <c r="Q46" s="65"/>
      <c r="R46" s="65">
        <f>Tabela393[[#This Row],[Atividade]]*Tabela393[[#This Row],[Quant.]]</f>
        <v>0</v>
      </c>
      <c r="S46" s="84"/>
      <c r="T46" s="70"/>
      <c r="X46" s="70"/>
      <c r="AB46" s="83"/>
      <c r="AC46" s="83"/>
      <c r="AD46" s="83"/>
      <c r="AE46" s="83"/>
      <c r="AF46" s="83"/>
      <c r="AG46" s="93" t="s">
        <v>145</v>
      </c>
      <c r="AH46" s="66" t="s">
        <v>275</v>
      </c>
      <c r="AI46" s="66" t="s">
        <v>93</v>
      </c>
      <c r="AJ46" s="94">
        <v>1</v>
      </c>
    </row>
    <row r="47" spans="1:36" x14ac:dyDescent="0.25">
      <c r="A47" s="70"/>
      <c r="B47" s="70"/>
      <c r="C47" s="70"/>
      <c r="D47" s="70"/>
      <c r="E47" s="70"/>
      <c r="F47" s="70"/>
      <c r="J47" s="65" t="s">
        <v>279</v>
      </c>
      <c r="K47" s="65" t="s">
        <v>134</v>
      </c>
      <c r="L47" s="65" t="s">
        <v>270</v>
      </c>
      <c r="M47" s="65" t="s">
        <v>136</v>
      </c>
      <c r="N47" s="65" t="s">
        <v>270</v>
      </c>
      <c r="O47" s="65" t="s">
        <v>204</v>
      </c>
      <c r="P47" s="65"/>
      <c r="Q47" s="65"/>
      <c r="R47" s="65">
        <f>Tabela393[[#This Row],[Atividade]]*Tabela393[[#This Row],[Quant.]]</f>
        <v>0</v>
      </c>
      <c r="S47" s="84"/>
      <c r="T47" s="70"/>
      <c r="X47" s="70"/>
      <c r="AB47" s="83"/>
      <c r="AC47" s="83"/>
      <c r="AD47" s="83"/>
      <c r="AE47" s="83"/>
      <c r="AF47" s="83"/>
      <c r="AG47" s="93" t="s">
        <v>145</v>
      </c>
      <c r="AH47" s="66" t="s">
        <v>275</v>
      </c>
      <c r="AI47" s="66" t="s">
        <v>92</v>
      </c>
      <c r="AJ47" s="94">
        <v>1</v>
      </c>
    </row>
    <row r="48" spans="1:36" x14ac:dyDescent="0.25">
      <c r="A48" s="70"/>
      <c r="B48" s="70"/>
      <c r="C48" s="70"/>
      <c r="D48" s="70"/>
      <c r="E48" s="70"/>
      <c r="F48" s="70"/>
      <c r="J48" s="65" t="s">
        <v>280</v>
      </c>
      <c r="K48" s="65" t="s">
        <v>134</v>
      </c>
      <c r="L48" s="65" t="s">
        <v>270</v>
      </c>
      <c r="M48" s="65" t="s">
        <v>136</v>
      </c>
      <c r="N48" s="65" t="s">
        <v>270</v>
      </c>
      <c r="O48" s="65" t="s">
        <v>210</v>
      </c>
      <c r="P48" s="65"/>
      <c r="Q48" s="65"/>
      <c r="R48" s="65">
        <f>Tabela393[[#This Row],[Atividade]]*Tabela393[[#This Row],[Quant.]]</f>
        <v>0</v>
      </c>
      <c r="S48" s="84"/>
      <c r="T48" s="70"/>
      <c r="X48" s="70"/>
      <c r="AB48" s="83"/>
      <c r="AC48" s="83"/>
      <c r="AD48" s="83"/>
      <c r="AE48" s="83"/>
      <c r="AF48" s="83"/>
      <c r="AG48" s="93" t="s">
        <v>145</v>
      </c>
      <c r="AH48" s="66" t="s">
        <v>275</v>
      </c>
      <c r="AI48" s="66" t="s">
        <v>91</v>
      </c>
      <c r="AJ48" s="94">
        <v>1</v>
      </c>
    </row>
    <row r="49" spans="1:36" x14ac:dyDescent="0.25">
      <c r="A49" s="70"/>
      <c r="B49" s="70"/>
      <c r="C49" s="70"/>
      <c r="D49" s="70"/>
      <c r="E49" s="70"/>
      <c r="F49" s="70"/>
      <c r="J49" s="65" t="s">
        <v>281</v>
      </c>
      <c r="K49" s="65" t="s">
        <v>171</v>
      </c>
      <c r="L49" s="65" t="s">
        <v>270</v>
      </c>
      <c r="M49" s="65" t="s">
        <v>136</v>
      </c>
      <c r="N49" s="65" t="s">
        <v>270</v>
      </c>
      <c r="O49" s="65" t="s">
        <v>215</v>
      </c>
      <c r="P49" s="65"/>
      <c r="Q49" s="65"/>
      <c r="R49" s="65">
        <f>Tabela393[[#This Row],[Atividade]]*Tabela393[[#This Row],[Quant.]]</f>
        <v>0</v>
      </c>
      <c r="S49" s="84"/>
      <c r="T49" s="70"/>
      <c r="X49" s="70"/>
      <c r="AB49" s="83"/>
      <c r="AC49" s="83"/>
      <c r="AD49" s="83"/>
      <c r="AE49" s="83"/>
      <c r="AF49" s="83"/>
      <c r="AG49" s="93" t="s">
        <v>145</v>
      </c>
      <c r="AH49" s="66" t="s">
        <v>275</v>
      </c>
      <c r="AI49" s="66" t="s">
        <v>90</v>
      </c>
      <c r="AJ49" s="94">
        <v>1</v>
      </c>
    </row>
    <row r="50" spans="1:36" x14ac:dyDescent="0.25">
      <c r="A50" s="70"/>
      <c r="B50" s="70"/>
      <c r="C50" s="70"/>
      <c r="D50" s="70"/>
      <c r="E50" s="70"/>
      <c r="F50" s="70"/>
      <c r="J50" s="65" t="s">
        <v>282</v>
      </c>
      <c r="K50" s="65" t="s">
        <v>171</v>
      </c>
      <c r="L50" s="65" t="s">
        <v>270</v>
      </c>
      <c r="M50" s="65" t="s">
        <v>136</v>
      </c>
      <c r="N50" s="65" t="s">
        <v>270</v>
      </c>
      <c r="O50" s="65" t="s">
        <v>219</v>
      </c>
      <c r="P50" s="65"/>
      <c r="Q50" s="65"/>
      <c r="R50" s="65">
        <f>Tabela393[[#This Row],[Atividade]]*Tabela393[[#This Row],[Quant.]]</f>
        <v>0</v>
      </c>
      <c r="S50" s="84"/>
      <c r="T50" s="70"/>
      <c r="X50" s="70"/>
      <c r="AB50" s="83"/>
      <c r="AC50" s="83"/>
      <c r="AD50" s="83"/>
      <c r="AE50" s="83"/>
      <c r="AF50" s="83"/>
      <c r="AG50" s="93" t="s">
        <v>145</v>
      </c>
      <c r="AH50" s="66" t="s">
        <v>275</v>
      </c>
      <c r="AI50" s="66" t="s">
        <v>89</v>
      </c>
      <c r="AJ50" s="94">
        <v>1</v>
      </c>
    </row>
    <row r="51" spans="1:36" x14ac:dyDescent="0.25">
      <c r="A51" s="70"/>
      <c r="B51" s="70"/>
      <c r="C51" s="70"/>
      <c r="D51" s="70"/>
      <c r="E51" s="70"/>
      <c r="F51" s="70"/>
      <c r="J51" s="65" t="s">
        <v>283</v>
      </c>
      <c r="K51" s="65" t="s">
        <v>171</v>
      </c>
      <c r="L51" s="65" t="s">
        <v>270</v>
      </c>
      <c r="M51" s="65" t="s">
        <v>136</v>
      </c>
      <c r="N51" s="65" t="s">
        <v>270</v>
      </c>
      <c r="O51" s="65" t="s">
        <v>223</v>
      </c>
      <c r="P51" s="65"/>
      <c r="Q51" s="65"/>
      <c r="R51" s="65">
        <f>Tabela393[[#This Row],[Atividade]]*Tabela393[[#This Row],[Quant.]]</f>
        <v>0</v>
      </c>
      <c r="S51" s="84"/>
      <c r="T51" s="70"/>
      <c r="X51" s="70"/>
      <c r="AB51" s="83"/>
      <c r="AC51" s="83"/>
      <c r="AD51" s="83"/>
      <c r="AE51" s="83"/>
      <c r="AF51" s="83"/>
      <c r="AG51" s="93" t="s">
        <v>145</v>
      </c>
      <c r="AH51" s="66" t="s">
        <v>275</v>
      </c>
      <c r="AI51" s="66" t="s">
        <v>88</v>
      </c>
      <c r="AJ51" s="94">
        <v>1</v>
      </c>
    </row>
    <row r="52" spans="1:36" x14ac:dyDescent="0.25">
      <c r="A52" s="70"/>
      <c r="B52" s="70"/>
      <c r="C52" s="70"/>
      <c r="D52" s="70"/>
      <c r="E52" s="70"/>
      <c r="F52" s="70"/>
      <c r="J52" s="65" t="s">
        <v>284</v>
      </c>
      <c r="K52" s="65" t="s">
        <v>171</v>
      </c>
      <c r="L52" s="65" t="s">
        <v>270</v>
      </c>
      <c r="M52" s="65" t="s">
        <v>136</v>
      </c>
      <c r="N52" s="65" t="s">
        <v>270</v>
      </c>
      <c r="O52" s="65" t="s">
        <v>226</v>
      </c>
      <c r="P52" s="65"/>
      <c r="Q52" s="65"/>
      <c r="R52" s="65">
        <f>Tabela393[[#This Row],[Atividade]]*Tabela393[[#This Row],[Quant.]]</f>
        <v>0</v>
      </c>
      <c r="S52" s="84"/>
      <c r="T52" s="70"/>
      <c r="X52" s="70"/>
      <c r="AB52" s="83"/>
      <c r="AC52" s="83"/>
      <c r="AD52" s="83"/>
      <c r="AE52" s="83"/>
      <c r="AF52" s="83"/>
      <c r="AG52" s="93" t="s">
        <v>145</v>
      </c>
      <c r="AH52" s="66" t="s">
        <v>275</v>
      </c>
      <c r="AI52" s="66" t="s">
        <v>87</v>
      </c>
      <c r="AJ52" s="94">
        <v>1</v>
      </c>
    </row>
    <row r="53" spans="1:36" x14ac:dyDescent="0.25">
      <c r="A53" s="70"/>
      <c r="B53" s="70"/>
      <c r="C53" s="70"/>
      <c r="D53" s="70"/>
      <c r="E53" s="70"/>
      <c r="F53" s="70"/>
      <c r="J53" s="65" t="s">
        <v>285</v>
      </c>
      <c r="K53" s="65" t="s">
        <v>171</v>
      </c>
      <c r="L53" s="65" t="s">
        <v>270</v>
      </c>
      <c r="M53" s="65" t="s">
        <v>136</v>
      </c>
      <c r="N53" s="65" t="s">
        <v>270</v>
      </c>
      <c r="O53" s="65" t="s">
        <v>230</v>
      </c>
      <c r="P53" s="65"/>
      <c r="Q53" s="65"/>
      <c r="R53" s="65">
        <f>Tabela393[[#This Row],[Atividade]]*Tabela393[[#This Row],[Quant.]]</f>
        <v>0</v>
      </c>
      <c r="S53" s="84"/>
      <c r="T53" s="70"/>
      <c r="X53" s="70"/>
      <c r="AB53" s="83"/>
      <c r="AC53" s="83"/>
      <c r="AD53" s="83"/>
      <c r="AE53" s="83"/>
      <c r="AF53" s="83"/>
      <c r="AG53" s="93" t="s">
        <v>145</v>
      </c>
      <c r="AH53" s="66" t="s">
        <v>275</v>
      </c>
      <c r="AI53" s="66" t="s">
        <v>86</v>
      </c>
      <c r="AJ53" s="94">
        <v>1</v>
      </c>
    </row>
    <row r="54" spans="1:36" x14ac:dyDescent="0.25">
      <c r="A54" s="70"/>
      <c r="B54" s="70"/>
      <c r="C54" s="70"/>
      <c r="D54" s="70"/>
      <c r="E54" s="70"/>
      <c r="F54" s="70"/>
      <c r="J54" s="65" t="s">
        <v>286</v>
      </c>
      <c r="K54" s="65" t="s">
        <v>171</v>
      </c>
      <c r="L54" s="65" t="s">
        <v>270</v>
      </c>
      <c r="M54" s="65" t="s">
        <v>136</v>
      </c>
      <c r="N54" s="65" t="s">
        <v>270</v>
      </c>
      <c r="O54" s="65" t="s">
        <v>260</v>
      </c>
      <c r="P54" s="65"/>
      <c r="Q54" s="65"/>
      <c r="R54" s="65">
        <f>Tabela393[[#This Row],[Atividade]]*Tabela393[[#This Row],[Quant.]]</f>
        <v>0</v>
      </c>
      <c r="S54" s="84"/>
      <c r="T54" s="70"/>
      <c r="X54" s="70"/>
      <c r="AB54" s="83"/>
      <c r="AC54" s="83"/>
      <c r="AD54" s="83"/>
      <c r="AE54" s="83"/>
      <c r="AF54" s="83"/>
      <c r="AG54" s="93" t="s">
        <v>145</v>
      </c>
      <c r="AH54" s="66" t="s">
        <v>275</v>
      </c>
      <c r="AI54" s="66" t="s">
        <v>85</v>
      </c>
      <c r="AJ54" s="94">
        <v>1</v>
      </c>
    </row>
    <row r="55" spans="1:36" x14ac:dyDescent="0.25">
      <c r="A55" s="70"/>
      <c r="B55" s="70"/>
      <c r="C55" s="70"/>
      <c r="D55" s="70"/>
      <c r="E55" s="70"/>
      <c r="F55" s="70"/>
      <c r="J55" s="65" t="s">
        <v>287</v>
      </c>
      <c r="K55" s="65" t="s">
        <v>171</v>
      </c>
      <c r="L55" s="65" t="s">
        <v>270</v>
      </c>
      <c r="M55" s="65" t="s">
        <v>136</v>
      </c>
      <c r="N55" s="65" t="s">
        <v>270</v>
      </c>
      <c r="O55" s="65" t="s">
        <v>262</v>
      </c>
      <c r="P55" s="65"/>
      <c r="Q55" s="65"/>
      <c r="R55" s="65">
        <f>Tabela393[[#This Row],[Atividade]]*Tabela393[[#This Row],[Quant.]]</f>
        <v>0</v>
      </c>
      <c r="S55" s="84"/>
      <c r="T55" s="70"/>
      <c r="X55" s="70"/>
      <c r="AB55" s="83"/>
      <c r="AC55" s="83"/>
      <c r="AD55" s="83"/>
      <c r="AE55" s="83"/>
      <c r="AF55" s="83"/>
      <c r="AG55" s="93" t="s">
        <v>145</v>
      </c>
      <c r="AH55" s="66" t="s">
        <v>275</v>
      </c>
      <c r="AI55" s="66" t="s">
        <v>84</v>
      </c>
      <c r="AJ55" s="94">
        <v>1</v>
      </c>
    </row>
    <row r="56" spans="1:36" x14ac:dyDescent="0.25">
      <c r="A56" s="70"/>
      <c r="B56" s="70"/>
      <c r="C56" s="70"/>
      <c r="D56" s="70"/>
      <c r="E56" s="70"/>
      <c r="F56" s="70"/>
      <c r="J56" s="65" t="s">
        <v>288</v>
      </c>
      <c r="K56" s="65" t="s">
        <v>171</v>
      </c>
      <c r="L56" s="65" t="s">
        <v>270</v>
      </c>
      <c r="M56" s="65" t="s">
        <v>136</v>
      </c>
      <c r="N56" s="65" t="s">
        <v>270</v>
      </c>
      <c r="O56" s="65" t="s">
        <v>264</v>
      </c>
      <c r="P56" s="65"/>
      <c r="Q56" s="65"/>
      <c r="R56" s="65">
        <f>Tabela393[[#This Row],[Atividade]]*Tabela393[[#This Row],[Quant.]]</f>
        <v>0</v>
      </c>
      <c r="S56" s="84"/>
      <c r="T56" s="70"/>
      <c r="X56" s="70"/>
      <c r="AB56" s="83"/>
      <c r="AC56" s="83"/>
      <c r="AD56" s="83"/>
      <c r="AE56" s="83"/>
      <c r="AF56" s="83"/>
      <c r="AG56" s="93" t="s">
        <v>145</v>
      </c>
      <c r="AH56" s="66" t="s">
        <v>275</v>
      </c>
      <c r="AI56" s="66" t="s">
        <v>83</v>
      </c>
      <c r="AJ56" s="94">
        <v>1</v>
      </c>
    </row>
    <row r="57" spans="1:36" x14ac:dyDescent="0.25">
      <c r="A57" s="70"/>
      <c r="B57" s="70"/>
      <c r="C57" s="70"/>
      <c r="D57" s="70"/>
      <c r="E57" s="70"/>
      <c r="F57" s="70"/>
      <c r="J57" s="65" t="s">
        <v>289</v>
      </c>
      <c r="K57" s="65" t="s">
        <v>171</v>
      </c>
      <c r="L57" s="65" t="s">
        <v>270</v>
      </c>
      <c r="M57" s="65" t="s">
        <v>136</v>
      </c>
      <c r="N57" s="65" t="s">
        <v>270</v>
      </c>
      <c r="O57" s="65" t="s">
        <v>266</v>
      </c>
      <c r="P57" s="65"/>
      <c r="Q57" s="65"/>
      <c r="R57" s="65">
        <f>Tabela393[[#This Row],[Atividade]]*Tabela393[[#This Row],[Quant.]]</f>
        <v>0</v>
      </c>
      <c r="S57" s="84"/>
      <c r="T57" s="70"/>
      <c r="X57" s="70"/>
      <c r="AB57" s="83"/>
      <c r="AC57" s="83"/>
      <c r="AD57" s="83"/>
      <c r="AE57" s="83"/>
      <c r="AF57" s="83"/>
      <c r="AG57" s="93" t="s">
        <v>145</v>
      </c>
      <c r="AH57" s="66" t="s">
        <v>275</v>
      </c>
      <c r="AI57" s="66" t="s">
        <v>82</v>
      </c>
      <c r="AJ57" s="94">
        <v>1</v>
      </c>
    </row>
    <row r="58" spans="1:36" x14ac:dyDescent="0.25">
      <c r="A58" s="70"/>
      <c r="B58" s="70"/>
      <c r="C58" s="70"/>
      <c r="D58" s="70"/>
      <c r="E58" s="70"/>
      <c r="F58" s="70"/>
      <c r="J58" s="65" t="s">
        <v>290</v>
      </c>
      <c r="K58" s="65" t="s">
        <v>171</v>
      </c>
      <c r="L58" s="65" t="s">
        <v>270</v>
      </c>
      <c r="M58" s="65" t="s">
        <v>136</v>
      </c>
      <c r="N58" s="65" t="s">
        <v>270</v>
      </c>
      <c r="O58" s="65" t="s">
        <v>268</v>
      </c>
      <c r="P58" s="65"/>
      <c r="Q58" s="65"/>
      <c r="R58" s="65">
        <f>Tabela393[[#This Row],[Atividade]]*Tabela393[[#This Row],[Quant.]]</f>
        <v>0</v>
      </c>
      <c r="S58" s="84"/>
      <c r="T58" s="70"/>
      <c r="X58" s="70"/>
      <c r="AB58" s="83"/>
      <c r="AC58" s="83"/>
      <c r="AD58" s="83"/>
      <c r="AE58" s="83"/>
      <c r="AF58" s="83"/>
      <c r="AG58" s="93" t="s">
        <v>145</v>
      </c>
      <c r="AH58" s="66" t="s">
        <v>275</v>
      </c>
      <c r="AI58" s="66" t="s">
        <v>79</v>
      </c>
      <c r="AJ58" s="94">
        <v>1</v>
      </c>
    </row>
    <row r="59" spans="1:36" x14ac:dyDescent="0.25">
      <c r="A59" s="70"/>
      <c r="B59" s="70"/>
      <c r="C59" s="70"/>
      <c r="D59" s="70"/>
      <c r="E59" s="70"/>
      <c r="F59" s="70"/>
      <c r="J59" s="65" t="s">
        <v>291</v>
      </c>
      <c r="K59" s="65" t="s">
        <v>171</v>
      </c>
      <c r="L59" s="65" t="s">
        <v>292</v>
      </c>
      <c r="M59" s="65" t="s">
        <v>293</v>
      </c>
      <c r="N59" s="66" t="s">
        <v>294</v>
      </c>
      <c r="O59" s="65" t="s">
        <v>295</v>
      </c>
      <c r="P59" s="65">
        <v>4</v>
      </c>
      <c r="Q59" s="65"/>
      <c r="R59" s="65">
        <f>Tabela393[[#This Row],[Atividade]]*Tabela393[[#This Row],[Quant.]]</f>
        <v>0</v>
      </c>
      <c r="S59" s="84"/>
      <c r="T59" s="70"/>
      <c r="X59" s="70"/>
      <c r="AB59" s="83"/>
      <c r="AC59" s="83"/>
      <c r="AD59" s="83"/>
      <c r="AE59" s="83"/>
      <c r="AF59" s="83"/>
      <c r="AG59" s="93" t="s">
        <v>145</v>
      </c>
      <c r="AH59" s="66" t="s">
        <v>275</v>
      </c>
      <c r="AI59" s="66" t="s">
        <v>81</v>
      </c>
      <c r="AJ59" s="94">
        <v>1</v>
      </c>
    </row>
    <row r="60" spans="1:36" x14ac:dyDescent="0.25">
      <c r="A60" s="70"/>
      <c r="B60" s="70"/>
      <c r="C60" s="70"/>
      <c r="D60" s="70"/>
      <c r="E60" s="70"/>
      <c r="F60" s="70"/>
      <c r="J60" s="65" t="s">
        <v>296</v>
      </c>
      <c r="K60" s="65" t="s">
        <v>171</v>
      </c>
      <c r="L60" s="65" t="s">
        <v>292</v>
      </c>
      <c r="M60" s="65" t="s">
        <v>293</v>
      </c>
      <c r="N60" s="66" t="s">
        <v>294</v>
      </c>
      <c r="O60" s="65" t="s">
        <v>297</v>
      </c>
      <c r="P60" s="65">
        <v>5</v>
      </c>
      <c r="Q60" s="65"/>
      <c r="R60" s="65">
        <f>Tabela393[[#This Row],[Atividade]]*Tabela393[[#This Row],[Quant.]]</f>
        <v>0</v>
      </c>
      <c r="S60" s="84"/>
      <c r="T60" s="70"/>
      <c r="X60" s="70"/>
      <c r="AB60" s="83"/>
      <c r="AC60" s="83"/>
      <c r="AD60" s="83"/>
      <c r="AE60" s="83"/>
      <c r="AF60" s="83"/>
      <c r="AG60" s="93" t="s">
        <v>145</v>
      </c>
      <c r="AH60" s="66" t="s">
        <v>275</v>
      </c>
      <c r="AI60" s="66" t="s">
        <v>80</v>
      </c>
      <c r="AJ60" s="94">
        <v>1</v>
      </c>
    </row>
    <row r="61" spans="1:36" x14ac:dyDescent="0.25">
      <c r="A61" s="70"/>
      <c r="B61" s="70"/>
      <c r="C61" s="70"/>
      <c r="D61" s="70"/>
      <c r="E61" s="70"/>
      <c r="F61" s="70"/>
      <c r="J61" s="65" t="s">
        <v>298</v>
      </c>
      <c r="K61" s="65" t="s">
        <v>171</v>
      </c>
      <c r="L61" s="65" t="s">
        <v>292</v>
      </c>
      <c r="M61" s="65" t="s">
        <v>293</v>
      </c>
      <c r="N61" s="66" t="s">
        <v>294</v>
      </c>
      <c r="O61" s="65" t="s">
        <v>299</v>
      </c>
      <c r="P61" s="65">
        <v>6</v>
      </c>
      <c r="Q61" s="65">
        <v>4</v>
      </c>
      <c r="R61" s="65">
        <f>Tabela393[[#This Row],[Atividade]]*Tabela393[[#This Row],[Quant.]]</f>
        <v>24</v>
      </c>
      <c r="S61" s="84"/>
      <c r="T61" s="70"/>
      <c r="X61" s="70"/>
      <c r="AB61" s="83"/>
      <c r="AC61" s="83"/>
      <c r="AD61" s="83"/>
      <c r="AE61" s="83"/>
      <c r="AF61" s="83"/>
      <c r="AG61" s="93" t="s">
        <v>145</v>
      </c>
      <c r="AH61" s="66" t="s">
        <v>275</v>
      </c>
      <c r="AI61" s="66" t="s">
        <v>300</v>
      </c>
      <c r="AJ61" s="94">
        <v>1</v>
      </c>
    </row>
    <row r="62" spans="1:36" x14ac:dyDescent="0.25">
      <c r="A62" s="70"/>
      <c r="B62" s="70"/>
      <c r="C62" s="70"/>
      <c r="D62" s="70"/>
      <c r="E62" s="70"/>
      <c r="F62" s="70"/>
      <c r="J62" s="65" t="s">
        <v>301</v>
      </c>
      <c r="K62" s="65" t="s">
        <v>302</v>
      </c>
      <c r="L62" s="65" t="s">
        <v>292</v>
      </c>
      <c r="M62" s="65" t="s">
        <v>293</v>
      </c>
      <c r="N62" s="66" t="s">
        <v>294</v>
      </c>
      <c r="O62" s="65" t="s">
        <v>172</v>
      </c>
      <c r="P62" s="65">
        <v>1</v>
      </c>
      <c r="Q62" s="65"/>
      <c r="R62" s="65">
        <f>Tabela393[[#This Row],[Atividade]]*Tabela393[[#This Row],[Quant.]]</f>
        <v>0</v>
      </c>
      <c r="S62" s="84"/>
      <c r="T62" s="70"/>
      <c r="X62" s="70"/>
      <c r="AB62" s="83"/>
      <c r="AC62" s="83"/>
      <c r="AD62" s="83"/>
      <c r="AE62" s="83"/>
      <c r="AF62" s="83"/>
      <c r="AG62" s="93" t="s">
        <v>145</v>
      </c>
      <c r="AH62" s="66" t="s">
        <v>275</v>
      </c>
      <c r="AI62" s="66" t="s">
        <v>303</v>
      </c>
      <c r="AJ62" s="94">
        <v>1</v>
      </c>
    </row>
    <row r="63" spans="1:36" x14ac:dyDescent="0.25">
      <c r="A63" s="70"/>
      <c r="B63" s="70"/>
      <c r="C63" s="70"/>
      <c r="D63" s="70"/>
      <c r="E63" s="70"/>
      <c r="F63" s="70"/>
      <c r="J63" s="65" t="s">
        <v>304</v>
      </c>
      <c r="K63" s="65" t="s">
        <v>302</v>
      </c>
      <c r="L63" s="65" t="s">
        <v>292</v>
      </c>
      <c r="M63" s="65" t="s">
        <v>293</v>
      </c>
      <c r="N63" s="66" t="s">
        <v>294</v>
      </c>
      <c r="O63" s="65" t="s">
        <v>305</v>
      </c>
      <c r="P63" s="65">
        <v>2</v>
      </c>
      <c r="Q63" s="65"/>
      <c r="R63" s="65">
        <f>Tabela393[[#This Row],[Atividade]]*Tabela393[[#This Row],[Quant.]]</f>
        <v>0</v>
      </c>
      <c r="S63" s="84"/>
      <c r="T63" s="70"/>
      <c r="X63" s="70"/>
      <c r="AB63" s="83"/>
      <c r="AC63" s="83"/>
      <c r="AD63" s="83"/>
      <c r="AE63" s="83"/>
      <c r="AF63" s="83"/>
      <c r="AG63" s="93" t="s">
        <v>145</v>
      </c>
      <c r="AH63" s="66" t="s">
        <v>306</v>
      </c>
      <c r="AI63" s="66" t="s">
        <v>96</v>
      </c>
      <c r="AJ63" s="94">
        <v>1</v>
      </c>
    </row>
    <row r="64" spans="1:36" x14ac:dyDescent="0.25">
      <c r="A64" s="70"/>
      <c r="B64" s="70"/>
      <c r="C64" s="70"/>
      <c r="D64" s="70"/>
      <c r="E64" s="70"/>
      <c r="F64" s="70"/>
      <c r="J64" s="65" t="s">
        <v>307</v>
      </c>
      <c r="K64" s="65" t="s">
        <v>302</v>
      </c>
      <c r="L64" s="65" t="s">
        <v>292</v>
      </c>
      <c r="M64" s="65" t="s">
        <v>293</v>
      </c>
      <c r="N64" s="66" t="s">
        <v>294</v>
      </c>
      <c r="O64" s="65" t="s">
        <v>308</v>
      </c>
      <c r="P64" s="65">
        <v>3</v>
      </c>
      <c r="Q64" s="65"/>
      <c r="R64" s="65">
        <f>Tabela393[[#This Row],[Atividade]]*Tabela393[[#This Row],[Quant.]]</f>
        <v>0</v>
      </c>
      <c r="S64" s="84"/>
      <c r="T64" s="70"/>
      <c r="X64" s="70"/>
      <c r="AB64" s="83"/>
      <c r="AC64" s="83"/>
      <c r="AD64" s="83"/>
      <c r="AE64" s="83"/>
      <c r="AF64" s="83"/>
      <c r="AG64" s="93" t="s">
        <v>145</v>
      </c>
      <c r="AH64" s="66" t="s">
        <v>306</v>
      </c>
      <c r="AI64" s="66" t="s">
        <v>95</v>
      </c>
      <c r="AJ64" s="94">
        <v>1</v>
      </c>
    </row>
    <row r="65" spans="1:36" x14ac:dyDescent="0.25">
      <c r="A65" s="70"/>
      <c r="B65" s="70"/>
      <c r="C65" s="70"/>
      <c r="D65" s="70"/>
      <c r="E65" s="70"/>
      <c r="F65" s="70"/>
      <c r="J65" s="65" t="s">
        <v>309</v>
      </c>
      <c r="K65" s="65" t="s">
        <v>302</v>
      </c>
      <c r="L65" s="65" t="s">
        <v>292</v>
      </c>
      <c r="M65" s="65" t="s">
        <v>293</v>
      </c>
      <c r="N65" s="66" t="s">
        <v>294</v>
      </c>
      <c r="O65" s="65" t="s">
        <v>310</v>
      </c>
      <c r="P65" s="65">
        <v>4</v>
      </c>
      <c r="Q65" s="65"/>
      <c r="R65" s="65">
        <f>Tabela393[[#This Row],[Atividade]]*Tabela393[[#This Row],[Quant.]]</f>
        <v>0</v>
      </c>
      <c r="S65" s="84"/>
      <c r="T65" s="70"/>
      <c r="X65" s="70"/>
      <c r="AB65" s="83"/>
      <c r="AC65" s="83"/>
      <c r="AD65" s="83"/>
      <c r="AE65" s="83"/>
      <c r="AF65" s="83"/>
      <c r="AG65" s="93" t="s">
        <v>145</v>
      </c>
      <c r="AH65" s="66" t="s">
        <v>306</v>
      </c>
      <c r="AI65" s="66" t="s">
        <v>94</v>
      </c>
      <c r="AJ65" s="94">
        <v>1</v>
      </c>
    </row>
    <row r="66" spans="1:36" x14ac:dyDescent="0.25">
      <c r="A66" s="70"/>
      <c r="B66" s="70"/>
      <c r="C66" s="70"/>
      <c r="D66" s="70"/>
      <c r="E66" s="70"/>
      <c r="F66" s="70"/>
      <c r="J66" s="65" t="s">
        <v>311</v>
      </c>
      <c r="K66" s="65" t="s">
        <v>302</v>
      </c>
      <c r="L66" s="65" t="s">
        <v>292</v>
      </c>
      <c r="M66" s="65" t="s">
        <v>293</v>
      </c>
      <c r="N66" s="66" t="s">
        <v>294</v>
      </c>
      <c r="O66" s="65" t="s">
        <v>312</v>
      </c>
      <c r="P66" s="65">
        <v>5</v>
      </c>
      <c r="Q66" s="65"/>
      <c r="R66" s="65">
        <f>Tabela393[[#This Row],[Atividade]]*Tabela393[[#This Row],[Quant.]]</f>
        <v>0</v>
      </c>
      <c r="S66" s="84"/>
      <c r="T66" s="70"/>
      <c r="X66" s="70"/>
      <c r="AB66" s="83"/>
      <c r="AC66" s="83"/>
      <c r="AD66" s="83"/>
      <c r="AE66" s="83"/>
      <c r="AF66" s="83"/>
      <c r="AG66" s="93" t="s">
        <v>145</v>
      </c>
      <c r="AH66" s="66" t="s">
        <v>306</v>
      </c>
      <c r="AI66" s="66" t="s">
        <v>93</v>
      </c>
      <c r="AJ66" s="94">
        <v>1</v>
      </c>
    </row>
    <row r="67" spans="1:36" x14ac:dyDescent="0.25">
      <c r="A67" s="70"/>
      <c r="B67" s="70"/>
      <c r="C67" s="70"/>
      <c r="D67" s="70"/>
      <c r="E67" s="70"/>
      <c r="F67" s="70"/>
      <c r="J67" s="65" t="s">
        <v>313</v>
      </c>
      <c r="K67" s="65" t="s">
        <v>302</v>
      </c>
      <c r="L67" s="65" t="s">
        <v>292</v>
      </c>
      <c r="M67" s="65" t="s">
        <v>293</v>
      </c>
      <c r="N67" s="66" t="s">
        <v>294</v>
      </c>
      <c r="O67" s="65" t="s">
        <v>314</v>
      </c>
      <c r="P67" s="65">
        <v>6</v>
      </c>
      <c r="Q67" s="65"/>
      <c r="R67" s="65">
        <f>Tabela393[[#This Row],[Atividade]]*Tabela393[[#This Row],[Quant.]]</f>
        <v>0</v>
      </c>
      <c r="S67" s="84"/>
      <c r="T67" s="70"/>
      <c r="X67" s="70"/>
      <c r="AB67" s="83"/>
      <c r="AC67" s="83"/>
      <c r="AD67" s="83"/>
      <c r="AE67" s="83"/>
      <c r="AF67" s="83"/>
      <c r="AG67" s="93" t="s">
        <v>145</v>
      </c>
      <c r="AH67" s="66" t="s">
        <v>315</v>
      </c>
      <c r="AI67" s="66" t="s">
        <v>96</v>
      </c>
      <c r="AJ67" s="94">
        <v>1</v>
      </c>
    </row>
    <row r="68" spans="1:36" x14ac:dyDescent="0.25">
      <c r="A68" s="70"/>
      <c r="B68" s="70"/>
      <c r="C68" s="70"/>
      <c r="D68" s="70"/>
      <c r="E68" s="70"/>
      <c r="F68" s="70"/>
      <c r="J68" s="65" t="s">
        <v>316</v>
      </c>
      <c r="K68" s="65" t="s">
        <v>302</v>
      </c>
      <c r="L68" s="65" t="s">
        <v>292</v>
      </c>
      <c r="M68" s="65" t="s">
        <v>293</v>
      </c>
      <c r="N68" s="66" t="s">
        <v>294</v>
      </c>
      <c r="O68" s="65" t="s">
        <v>317</v>
      </c>
      <c r="P68" s="65">
        <v>7</v>
      </c>
      <c r="Q68" s="65">
        <v>4</v>
      </c>
      <c r="R68" s="65">
        <f>Tabela393[[#This Row],[Atividade]]*Tabela393[[#This Row],[Quant.]]</f>
        <v>28</v>
      </c>
      <c r="S68" s="84"/>
      <c r="T68" s="70"/>
      <c r="X68" s="70"/>
      <c r="AB68" s="83"/>
      <c r="AC68" s="83"/>
      <c r="AD68" s="83"/>
      <c r="AE68" s="83"/>
      <c r="AF68" s="83"/>
      <c r="AG68" s="93" t="s">
        <v>145</v>
      </c>
      <c r="AH68" s="66" t="s">
        <v>315</v>
      </c>
      <c r="AI68" s="66" t="s">
        <v>95</v>
      </c>
      <c r="AJ68" s="94">
        <v>1</v>
      </c>
    </row>
    <row r="69" spans="1:36" x14ac:dyDescent="0.25">
      <c r="A69" s="70"/>
      <c r="B69" s="70"/>
      <c r="C69" s="70"/>
      <c r="D69" s="70"/>
      <c r="E69" s="70"/>
      <c r="F69" s="70"/>
      <c r="J69" s="65" t="s">
        <v>318</v>
      </c>
      <c r="K69" s="65" t="s">
        <v>134</v>
      </c>
      <c r="L69" s="65" t="s">
        <v>292</v>
      </c>
      <c r="M69" s="65" t="s">
        <v>293</v>
      </c>
      <c r="N69" s="66" t="s">
        <v>294</v>
      </c>
      <c r="O69" s="65" t="s">
        <v>319</v>
      </c>
      <c r="P69" s="65">
        <v>7</v>
      </c>
      <c r="Q69" s="65">
        <v>4</v>
      </c>
      <c r="R69" s="65">
        <f>Tabela393[[#This Row],[Atividade]]*Tabela393[[#This Row],[Quant.]]</f>
        <v>28</v>
      </c>
      <c r="S69" s="84"/>
      <c r="T69" s="70"/>
      <c r="X69" s="70"/>
      <c r="AB69" s="83"/>
      <c r="AC69" s="83"/>
      <c r="AD69" s="83"/>
      <c r="AE69" s="83"/>
      <c r="AF69" s="83"/>
      <c r="AG69" s="93" t="s">
        <v>145</v>
      </c>
      <c r="AH69" s="66" t="s">
        <v>315</v>
      </c>
      <c r="AI69" s="66" t="s">
        <v>94</v>
      </c>
      <c r="AJ69" s="94">
        <v>1</v>
      </c>
    </row>
    <row r="70" spans="1:36" x14ac:dyDescent="0.25">
      <c r="A70" s="70"/>
      <c r="B70" s="70"/>
      <c r="C70" s="70"/>
      <c r="D70" s="70"/>
      <c r="E70" s="70"/>
      <c r="F70" s="70"/>
      <c r="J70" s="65" t="s">
        <v>320</v>
      </c>
      <c r="K70" s="65" t="s">
        <v>134</v>
      </c>
      <c r="L70" s="65" t="s">
        <v>292</v>
      </c>
      <c r="M70" s="65" t="s">
        <v>293</v>
      </c>
      <c r="N70" s="66" t="s">
        <v>294</v>
      </c>
      <c r="O70" s="65" t="s">
        <v>321</v>
      </c>
      <c r="P70" s="65">
        <v>6</v>
      </c>
      <c r="Q70" s="65"/>
      <c r="R70" s="65">
        <f>Tabela393[[#This Row],[Atividade]]*Tabela393[[#This Row],[Quant.]]</f>
        <v>0</v>
      </c>
      <c r="S70" s="84"/>
      <c r="T70" s="70"/>
      <c r="X70" s="70"/>
      <c r="AB70" s="83"/>
      <c r="AC70" s="83"/>
      <c r="AD70" s="83"/>
      <c r="AE70" s="83"/>
      <c r="AF70" s="83"/>
      <c r="AG70" s="93" t="s">
        <v>145</v>
      </c>
      <c r="AH70" s="66" t="s">
        <v>315</v>
      </c>
      <c r="AI70" s="66" t="s">
        <v>93</v>
      </c>
      <c r="AJ70" s="94">
        <v>1</v>
      </c>
    </row>
    <row r="71" spans="1:36" x14ac:dyDescent="0.25">
      <c r="A71" s="70"/>
      <c r="B71" s="70"/>
      <c r="C71" s="70"/>
      <c r="D71" s="70"/>
      <c r="E71" s="70"/>
      <c r="F71" s="70"/>
      <c r="J71" s="65" t="s">
        <v>322</v>
      </c>
      <c r="K71" s="65" t="s">
        <v>134</v>
      </c>
      <c r="L71" s="65" t="s">
        <v>292</v>
      </c>
      <c r="M71" s="65" t="s">
        <v>293</v>
      </c>
      <c r="N71" s="66" t="s">
        <v>294</v>
      </c>
      <c r="O71" s="65" t="s">
        <v>323</v>
      </c>
      <c r="P71" s="65">
        <v>5</v>
      </c>
      <c r="Q71" s="65"/>
      <c r="R71" s="65">
        <f>Tabela393[[#This Row],[Atividade]]*Tabela393[[#This Row],[Quant.]]</f>
        <v>0</v>
      </c>
      <c r="S71" s="84"/>
      <c r="T71" s="70"/>
      <c r="X71" s="70"/>
      <c r="AB71" s="83"/>
      <c r="AC71" s="83"/>
      <c r="AD71" s="83"/>
      <c r="AE71" s="83"/>
      <c r="AF71" s="83"/>
      <c r="AG71" s="93" t="s">
        <v>145</v>
      </c>
      <c r="AH71" s="66" t="s">
        <v>315</v>
      </c>
      <c r="AI71" s="66" t="s">
        <v>92</v>
      </c>
      <c r="AJ71" s="94">
        <v>1</v>
      </c>
    </row>
    <row r="72" spans="1:36" x14ac:dyDescent="0.25">
      <c r="A72" s="70"/>
      <c r="B72" s="70"/>
      <c r="C72" s="70"/>
      <c r="D72" s="70"/>
      <c r="E72" s="70"/>
      <c r="F72" s="70"/>
      <c r="J72" s="65" t="s">
        <v>324</v>
      </c>
      <c r="K72" s="65" t="s">
        <v>134</v>
      </c>
      <c r="L72" s="65" t="s">
        <v>292</v>
      </c>
      <c r="M72" s="65" t="s">
        <v>293</v>
      </c>
      <c r="N72" s="66" t="s">
        <v>294</v>
      </c>
      <c r="O72" s="65" t="s">
        <v>325</v>
      </c>
      <c r="P72" s="65">
        <v>4</v>
      </c>
      <c r="Q72" s="65"/>
      <c r="R72" s="65">
        <f>Tabela393[[#This Row],[Atividade]]*Tabela393[[#This Row],[Quant.]]</f>
        <v>0</v>
      </c>
      <c r="S72" s="84"/>
      <c r="T72" s="70"/>
      <c r="X72" s="70"/>
      <c r="AB72" s="83"/>
      <c r="AC72" s="83"/>
      <c r="AD72" s="83"/>
      <c r="AE72" s="83"/>
      <c r="AF72" s="83"/>
      <c r="AG72" s="93" t="s">
        <v>145</v>
      </c>
      <c r="AH72" s="66" t="s">
        <v>315</v>
      </c>
      <c r="AI72" s="66" t="s">
        <v>91</v>
      </c>
      <c r="AJ72" s="94">
        <v>1</v>
      </c>
    </row>
    <row r="73" spans="1:36" x14ac:dyDescent="0.25">
      <c r="A73" s="70"/>
      <c r="B73" s="70"/>
      <c r="C73" s="70"/>
      <c r="D73" s="70"/>
      <c r="E73" s="70"/>
      <c r="F73" s="70"/>
      <c r="J73" s="65" t="s">
        <v>326</v>
      </c>
      <c r="K73" s="65" t="s">
        <v>134</v>
      </c>
      <c r="L73" s="65" t="s">
        <v>292</v>
      </c>
      <c r="M73" s="65" t="s">
        <v>293</v>
      </c>
      <c r="N73" s="66" t="s">
        <v>294</v>
      </c>
      <c r="O73" s="65" t="s">
        <v>327</v>
      </c>
      <c r="P73" s="65">
        <v>3</v>
      </c>
      <c r="Q73" s="65"/>
      <c r="R73" s="65">
        <f>Tabela393[[#This Row],[Atividade]]*Tabela393[[#This Row],[Quant.]]</f>
        <v>0</v>
      </c>
      <c r="S73" s="84"/>
      <c r="T73" s="70"/>
      <c r="X73" s="70"/>
      <c r="AB73" s="83"/>
      <c r="AC73" s="83"/>
      <c r="AD73" s="83"/>
      <c r="AE73" s="83"/>
      <c r="AF73" s="83"/>
      <c r="AG73" s="93" t="s">
        <v>145</v>
      </c>
      <c r="AH73" s="66" t="s">
        <v>315</v>
      </c>
      <c r="AI73" s="66" t="s">
        <v>90</v>
      </c>
      <c r="AJ73" s="94">
        <v>1</v>
      </c>
    </row>
    <row r="74" spans="1:36" x14ac:dyDescent="0.25">
      <c r="A74" s="70"/>
      <c r="B74" s="70"/>
      <c r="C74" s="70"/>
      <c r="D74" s="70"/>
      <c r="E74" s="70"/>
      <c r="F74" s="70"/>
      <c r="J74" s="65" t="s">
        <v>328</v>
      </c>
      <c r="K74" s="65" t="s">
        <v>134</v>
      </c>
      <c r="L74" s="65" t="s">
        <v>292</v>
      </c>
      <c r="M74" s="65" t="s">
        <v>293</v>
      </c>
      <c r="N74" s="66" t="s">
        <v>294</v>
      </c>
      <c r="O74" s="65" t="s">
        <v>329</v>
      </c>
      <c r="P74" s="65">
        <v>2</v>
      </c>
      <c r="Q74" s="65"/>
      <c r="R74" s="65">
        <f>Tabela393[[#This Row],[Atividade]]*Tabela393[[#This Row],[Quant.]]</f>
        <v>0</v>
      </c>
      <c r="S74" s="84"/>
      <c r="T74" s="70"/>
      <c r="X74" s="70"/>
      <c r="AB74" s="83"/>
      <c r="AC74" s="83"/>
      <c r="AD74" s="83"/>
      <c r="AE74" s="83"/>
      <c r="AF74" s="83"/>
      <c r="AG74" s="93" t="s">
        <v>145</v>
      </c>
      <c r="AH74" s="66" t="s">
        <v>330</v>
      </c>
      <c r="AI74" s="66" t="s">
        <v>96</v>
      </c>
      <c r="AJ74" s="94">
        <v>1</v>
      </c>
    </row>
    <row r="75" spans="1:36" x14ac:dyDescent="0.25">
      <c r="A75" s="70"/>
      <c r="B75" s="70"/>
      <c r="C75" s="70"/>
      <c r="D75" s="70"/>
      <c r="E75" s="70"/>
      <c r="F75" s="70"/>
      <c r="J75" s="65" t="s">
        <v>331</v>
      </c>
      <c r="K75" s="65" t="s">
        <v>134</v>
      </c>
      <c r="L75" s="65" t="s">
        <v>292</v>
      </c>
      <c r="M75" s="65" t="s">
        <v>293</v>
      </c>
      <c r="N75" s="66" t="s">
        <v>294</v>
      </c>
      <c r="O75" s="65" t="s">
        <v>262</v>
      </c>
      <c r="P75" s="65">
        <v>1</v>
      </c>
      <c r="Q75" s="65"/>
      <c r="R75" s="65">
        <f>Tabela393[[#This Row],[Atividade]]*Tabela393[[#This Row],[Quant.]]</f>
        <v>0</v>
      </c>
      <c r="S75" s="84"/>
      <c r="T75" s="70"/>
      <c r="X75" s="70"/>
      <c r="AB75" s="83"/>
      <c r="AC75" s="83"/>
      <c r="AD75" s="83"/>
      <c r="AE75" s="83"/>
      <c r="AF75" s="83"/>
      <c r="AG75" s="93" t="s">
        <v>145</v>
      </c>
      <c r="AH75" s="66" t="s">
        <v>330</v>
      </c>
      <c r="AI75" s="66" t="s">
        <v>95</v>
      </c>
      <c r="AJ75" s="94">
        <v>1</v>
      </c>
    </row>
    <row r="76" spans="1:36" x14ac:dyDescent="0.25">
      <c r="A76" s="70"/>
      <c r="B76" s="70"/>
      <c r="C76" s="70"/>
      <c r="D76" s="70"/>
      <c r="E76" s="70"/>
      <c r="F76" s="70"/>
      <c r="J76" s="65" t="s">
        <v>332</v>
      </c>
      <c r="K76" s="65" t="s">
        <v>171</v>
      </c>
      <c r="L76" s="65" t="s">
        <v>292</v>
      </c>
      <c r="M76" s="65" t="s">
        <v>293</v>
      </c>
      <c r="N76" s="66" t="s">
        <v>294</v>
      </c>
      <c r="O76" s="65" t="s">
        <v>264</v>
      </c>
      <c r="P76" s="65">
        <v>1</v>
      </c>
      <c r="Q76" s="65"/>
      <c r="R76" s="65">
        <f>Tabela393[[#This Row],[Atividade]]*Tabela393[[#This Row],[Quant.]]</f>
        <v>0</v>
      </c>
      <c r="S76" s="84"/>
      <c r="T76" s="70"/>
      <c r="X76" s="70"/>
      <c r="AB76" s="83"/>
      <c r="AC76" s="83"/>
      <c r="AD76" s="83"/>
      <c r="AE76" s="83"/>
      <c r="AF76" s="83"/>
      <c r="AG76" s="93" t="s">
        <v>145</v>
      </c>
      <c r="AH76" s="66" t="s">
        <v>330</v>
      </c>
      <c r="AI76" s="66" t="s">
        <v>94</v>
      </c>
      <c r="AJ76" s="94">
        <v>1</v>
      </c>
    </row>
    <row r="77" spans="1:36" x14ac:dyDescent="0.25">
      <c r="A77" s="70"/>
      <c r="B77" s="70"/>
      <c r="C77" s="70"/>
      <c r="D77" s="70"/>
      <c r="E77" s="70"/>
      <c r="F77" s="70"/>
      <c r="J77" s="65" t="s">
        <v>333</v>
      </c>
      <c r="K77" s="65" t="s">
        <v>171</v>
      </c>
      <c r="L77" s="65" t="s">
        <v>292</v>
      </c>
      <c r="M77" s="65" t="s">
        <v>293</v>
      </c>
      <c r="N77" s="66" t="s">
        <v>294</v>
      </c>
      <c r="O77" s="65" t="s">
        <v>334</v>
      </c>
      <c r="P77" s="65">
        <v>2</v>
      </c>
      <c r="Q77" s="65"/>
      <c r="R77" s="65">
        <f>Tabela393[[#This Row],[Atividade]]*Tabela393[[#This Row],[Quant.]]</f>
        <v>0</v>
      </c>
      <c r="S77" s="84"/>
      <c r="T77" s="70"/>
      <c r="X77" s="70"/>
      <c r="AB77" s="83"/>
      <c r="AC77" s="83"/>
      <c r="AD77" s="83"/>
      <c r="AE77" s="83"/>
      <c r="AF77" s="83"/>
      <c r="AG77" s="93" t="s">
        <v>145</v>
      </c>
      <c r="AH77" s="66" t="s">
        <v>330</v>
      </c>
      <c r="AI77" s="66" t="s">
        <v>93</v>
      </c>
      <c r="AJ77" s="94">
        <v>1</v>
      </c>
    </row>
    <row r="78" spans="1:36" x14ac:dyDescent="0.25">
      <c r="A78" s="70"/>
      <c r="B78" s="70"/>
      <c r="C78" s="70"/>
      <c r="D78" s="70"/>
      <c r="E78" s="70"/>
      <c r="F78" s="70"/>
      <c r="J78" s="65" t="s">
        <v>335</v>
      </c>
      <c r="K78" s="65" t="s">
        <v>171</v>
      </c>
      <c r="L78" s="65" t="s">
        <v>292</v>
      </c>
      <c r="M78" s="65" t="s">
        <v>293</v>
      </c>
      <c r="N78" s="66" t="s">
        <v>294</v>
      </c>
      <c r="O78" s="65" t="s">
        <v>336</v>
      </c>
      <c r="P78" s="65">
        <v>3</v>
      </c>
      <c r="Q78" s="65"/>
      <c r="R78" s="65">
        <f>Tabela393[[#This Row],[Atividade]]*Tabela393[[#This Row],[Quant.]]</f>
        <v>0</v>
      </c>
      <c r="S78" s="84"/>
      <c r="T78" s="70"/>
      <c r="X78" s="70"/>
      <c r="AB78" s="83"/>
      <c r="AC78" s="83"/>
      <c r="AD78" s="83"/>
      <c r="AE78" s="83"/>
      <c r="AF78" s="83"/>
      <c r="AG78" s="93" t="s">
        <v>145</v>
      </c>
      <c r="AH78" s="66" t="s">
        <v>330</v>
      </c>
      <c r="AI78" s="66" t="s">
        <v>92</v>
      </c>
      <c r="AJ78" s="94">
        <v>1</v>
      </c>
    </row>
    <row r="79" spans="1:36" x14ac:dyDescent="0.25">
      <c r="A79" s="70"/>
      <c r="B79" s="70"/>
      <c r="C79" s="70"/>
      <c r="D79" s="70"/>
      <c r="E79" s="70"/>
      <c r="F79" s="70"/>
      <c r="J79" s="65" t="s">
        <v>337</v>
      </c>
      <c r="K79" s="65" t="s">
        <v>134</v>
      </c>
      <c r="L79" s="65" t="s">
        <v>292</v>
      </c>
      <c r="M79" s="65" t="s">
        <v>293</v>
      </c>
      <c r="N79" s="66" t="s">
        <v>338</v>
      </c>
      <c r="O79" s="65" t="s">
        <v>138</v>
      </c>
      <c r="P79" s="65">
        <v>1</v>
      </c>
      <c r="Q79" s="65"/>
      <c r="R79" s="65">
        <f>Tabela393[[#This Row],[Atividade]]*Tabela393[[#This Row],[Quant.]]</f>
        <v>0</v>
      </c>
      <c r="S79" s="84" t="s">
        <v>339</v>
      </c>
      <c r="T79" s="70"/>
      <c r="X79" s="70"/>
      <c r="AB79" s="83"/>
      <c r="AC79" s="83"/>
      <c r="AD79" s="83"/>
      <c r="AE79" s="83"/>
      <c r="AF79" s="83"/>
      <c r="AG79" s="93" t="s">
        <v>145</v>
      </c>
      <c r="AH79" s="66" t="s">
        <v>330</v>
      </c>
      <c r="AI79" s="66" t="s">
        <v>91</v>
      </c>
      <c r="AJ79" s="94">
        <v>1</v>
      </c>
    </row>
    <row r="80" spans="1:36" x14ac:dyDescent="0.25">
      <c r="A80" s="70"/>
      <c r="B80" s="70"/>
      <c r="C80" s="70"/>
      <c r="D80" s="70"/>
      <c r="E80" s="70"/>
      <c r="F80" s="70"/>
      <c r="J80" s="65" t="s">
        <v>340</v>
      </c>
      <c r="K80" s="65" t="s">
        <v>134</v>
      </c>
      <c r="L80" s="65" t="s">
        <v>292</v>
      </c>
      <c r="M80" s="65" t="s">
        <v>293</v>
      </c>
      <c r="N80" s="66" t="s">
        <v>338</v>
      </c>
      <c r="O80" s="65" t="s">
        <v>341</v>
      </c>
      <c r="P80" s="65">
        <v>2</v>
      </c>
      <c r="Q80" s="65"/>
      <c r="R80" s="65">
        <f>Tabela393[[#This Row],[Atividade]]*Tabela393[[#This Row],[Quant.]]</f>
        <v>0</v>
      </c>
      <c r="S80" s="84" t="s">
        <v>339</v>
      </c>
      <c r="T80" s="70"/>
      <c r="X80" s="70"/>
      <c r="AB80" s="83"/>
      <c r="AC80" s="83"/>
      <c r="AD80" s="83"/>
      <c r="AE80" s="83"/>
      <c r="AF80" s="83"/>
      <c r="AG80" s="93" t="s">
        <v>145</v>
      </c>
      <c r="AH80" s="66" t="s">
        <v>330</v>
      </c>
      <c r="AI80" s="66" t="s">
        <v>90</v>
      </c>
      <c r="AJ80" s="94">
        <v>1</v>
      </c>
    </row>
    <row r="81" spans="1:36" x14ac:dyDescent="0.25">
      <c r="A81" s="70"/>
      <c r="B81" s="70"/>
      <c r="C81" s="70"/>
      <c r="D81" s="70"/>
      <c r="E81" s="70"/>
      <c r="F81" s="70"/>
      <c r="J81" s="65" t="s">
        <v>342</v>
      </c>
      <c r="K81" s="65" t="s">
        <v>134</v>
      </c>
      <c r="L81" s="65" t="s">
        <v>292</v>
      </c>
      <c r="M81" s="65" t="s">
        <v>293</v>
      </c>
      <c r="N81" s="66" t="s">
        <v>338</v>
      </c>
      <c r="O81" s="65" t="s">
        <v>343</v>
      </c>
      <c r="P81" s="65">
        <v>3</v>
      </c>
      <c r="Q81" s="65"/>
      <c r="R81" s="65">
        <f>Tabela393[[#This Row],[Atividade]]*Tabela393[[#This Row],[Quant.]]</f>
        <v>0</v>
      </c>
      <c r="S81" s="84" t="s">
        <v>339</v>
      </c>
      <c r="T81" s="70"/>
      <c r="X81" s="70"/>
      <c r="AB81" s="83"/>
      <c r="AC81" s="83"/>
      <c r="AD81" s="83"/>
      <c r="AE81" s="83"/>
      <c r="AF81" s="83"/>
      <c r="AG81" s="93" t="s">
        <v>145</v>
      </c>
      <c r="AH81" s="66" t="s">
        <v>330</v>
      </c>
      <c r="AI81" s="66" t="s">
        <v>89</v>
      </c>
      <c r="AJ81" s="94">
        <v>1</v>
      </c>
    </row>
    <row r="82" spans="1:36" x14ac:dyDescent="0.25">
      <c r="A82" s="70"/>
      <c r="B82" s="70"/>
      <c r="C82" s="70"/>
      <c r="D82" s="70"/>
      <c r="E82" s="70"/>
      <c r="F82" s="70"/>
      <c r="J82" s="65" t="s">
        <v>344</v>
      </c>
      <c r="K82" s="65" t="s">
        <v>134</v>
      </c>
      <c r="L82" s="65" t="s">
        <v>292</v>
      </c>
      <c r="M82" s="65" t="s">
        <v>293</v>
      </c>
      <c r="N82" s="66" t="s">
        <v>338</v>
      </c>
      <c r="O82" s="65" t="s">
        <v>345</v>
      </c>
      <c r="P82" s="65">
        <v>4</v>
      </c>
      <c r="Q82" s="65"/>
      <c r="R82" s="65">
        <f>Tabela393[[#This Row],[Atividade]]*Tabela393[[#This Row],[Quant.]]</f>
        <v>0</v>
      </c>
      <c r="S82" s="84"/>
      <c r="T82" s="70"/>
      <c r="X82" s="70"/>
      <c r="AB82" s="83"/>
      <c r="AC82" s="83"/>
      <c r="AD82" s="83"/>
      <c r="AE82" s="83"/>
      <c r="AF82" s="83"/>
      <c r="AG82" s="93" t="s">
        <v>145</v>
      </c>
      <c r="AH82" s="66" t="s">
        <v>330</v>
      </c>
      <c r="AI82" s="66" t="s">
        <v>88</v>
      </c>
      <c r="AJ82" s="94">
        <v>1</v>
      </c>
    </row>
    <row r="83" spans="1:36" x14ac:dyDescent="0.25">
      <c r="A83" s="70"/>
      <c r="B83" s="70"/>
      <c r="C83" s="70"/>
      <c r="D83" s="70"/>
      <c r="E83" s="70"/>
      <c r="F83" s="70"/>
      <c r="J83" s="65" t="s">
        <v>346</v>
      </c>
      <c r="K83" s="65" t="s">
        <v>134</v>
      </c>
      <c r="L83" s="65" t="s">
        <v>292</v>
      </c>
      <c r="M83" s="65" t="s">
        <v>293</v>
      </c>
      <c r="N83" s="66" t="s">
        <v>338</v>
      </c>
      <c r="O83" s="65" t="s">
        <v>347</v>
      </c>
      <c r="P83" s="65">
        <v>6</v>
      </c>
      <c r="Q83" s="65">
        <v>4</v>
      </c>
      <c r="R83" s="65">
        <f>Tabela393[[#This Row],[Atividade]]*Tabela393[[#This Row],[Quant.]]</f>
        <v>24</v>
      </c>
      <c r="S83" s="84"/>
      <c r="T83" s="70"/>
      <c r="X83" s="70"/>
      <c r="AB83" s="83"/>
      <c r="AC83" s="83"/>
      <c r="AD83" s="83"/>
      <c r="AE83" s="83"/>
      <c r="AF83" s="83"/>
      <c r="AG83" s="93" t="s">
        <v>145</v>
      </c>
      <c r="AH83" s="66" t="s">
        <v>330</v>
      </c>
      <c r="AI83" s="66" t="s">
        <v>87</v>
      </c>
      <c r="AJ83" s="94">
        <v>1</v>
      </c>
    </row>
    <row r="84" spans="1:36" x14ac:dyDescent="0.25">
      <c r="A84" s="70"/>
      <c r="B84" s="70"/>
      <c r="C84" s="70"/>
      <c r="D84" s="70"/>
      <c r="E84" s="70"/>
      <c r="F84" s="70"/>
      <c r="J84" s="65" t="s">
        <v>348</v>
      </c>
      <c r="K84" s="65" t="s">
        <v>134</v>
      </c>
      <c r="L84" s="65" t="s">
        <v>292</v>
      </c>
      <c r="M84" s="65" t="s">
        <v>293</v>
      </c>
      <c r="N84" s="66" t="s">
        <v>338</v>
      </c>
      <c r="O84" s="65" t="s">
        <v>188</v>
      </c>
      <c r="P84" s="65">
        <v>1</v>
      </c>
      <c r="Q84" s="65"/>
      <c r="R84" s="65">
        <f>Tabela393[[#This Row],[Atividade]]*Tabela393[[#This Row],[Quant.]]</f>
        <v>0</v>
      </c>
      <c r="S84" s="84"/>
      <c r="T84" s="70"/>
      <c r="X84" s="70"/>
      <c r="AB84" s="83"/>
      <c r="AC84" s="83"/>
      <c r="AD84" s="83"/>
      <c r="AE84" s="83"/>
      <c r="AF84" s="83"/>
      <c r="AG84" s="93" t="s">
        <v>145</v>
      </c>
      <c r="AH84" s="66" t="s">
        <v>330</v>
      </c>
      <c r="AI84" s="66" t="s">
        <v>86</v>
      </c>
      <c r="AJ84" s="94">
        <v>1</v>
      </c>
    </row>
    <row r="85" spans="1:36" x14ac:dyDescent="0.25">
      <c r="A85" s="70"/>
      <c r="B85" s="70"/>
      <c r="C85" s="70"/>
      <c r="D85" s="70"/>
      <c r="E85" s="70"/>
      <c r="F85" s="70"/>
      <c r="J85" s="65" t="s">
        <v>349</v>
      </c>
      <c r="K85" s="65" t="s">
        <v>171</v>
      </c>
      <c r="L85" s="65" t="s">
        <v>292</v>
      </c>
      <c r="M85" s="65" t="s">
        <v>293</v>
      </c>
      <c r="N85" s="66" t="s">
        <v>338</v>
      </c>
      <c r="O85" s="65" t="s">
        <v>350</v>
      </c>
      <c r="P85" s="65">
        <v>7</v>
      </c>
      <c r="Q85" s="65">
        <v>4</v>
      </c>
      <c r="R85" s="65">
        <f>Tabela393[[#This Row],[Atividade]]*Tabela393[[#This Row],[Quant.]]</f>
        <v>28</v>
      </c>
      <c r="S85" s="84" t="s">
        <v>339</v>
      </c>
      <c r="T85" s="70"/>
      <c r="X85" s="70"/>
      <c r="AB85" s="83"/>
      <c r="AC85" s="83"/>
      <c r="AD85" s="83"/>
      <c r="AE85" s="83"/>
      <c r="AF85" s="83"/>
      <c r="AG85" s="93" t="s">
        <v>145</v>
      </c>
      <c r="AH85" s="66" t="s">
        <v>330</v>
      </c>
      <c r="AI85" s="66" t="s">
        <v>85</v>
      </c>
      <c r="AJ85" s="94">
        <v>1</v>
      </c>
    </row>
    <row r="86" spans="1:36" x14ac:dyDescent="0.25">
      <c r="A86" s="70"/>
      <c r="B86" s="70"/>
      <c r="C86" s="70"/>
      <c r="D86" s="70"/>
      <c r="E86" s="70"/>
      <c r="F86" s="70"/>
      <c r="J86" s="65" t="s">
        <v>351</v>
      </c>
      <c r="K86" s="65" t="s">
        <v>171</v>
      </c>
      <c r="L86" s="65" t="s">
        <v>292</v>
      </c>
      <c r="M86" s="65" t="s">
        <v>293</v>
      </c>
      <c r="N86" s="66" t="s">
        <v>338</v>
      </c>
      <c r="O86" s="65" t="s">
        <v>352</v>
      </c>
      <c r="P86" s="65">
        <v>6</v>
      </c>
      <c r="Q86" s="65"/>
      <c r="R86" s="65">
        <f>Tabela393[[#This Row],[Atividade]]*Tabela393[[#This Row],[Quant.]]</f>
        <v>0</v>
      </c>
      <c r="S86" s="84"/>
      <c r="T86" s="70"/>
      <c r="X86" s="70"/>
      <c r="AB86" s="83"/>
      <c r="AC86" s="83"/>
      <c r="AD86" s="83"/>
      <c r="AE86" s="83"/>
      <c r="AF86" s="83"/>
      <c r="AG86" s="93" t="s">
        <v>145</v>
      </c>
      <c r="AH86" s="66" t="s">
        <v>330</v>
      </c>
      <c r="AI86" s="66" t="s">
        <v>84</v>
      </c>
      <c r="AJ86" s="94">
        <v>1</v>
      </c>
    </row>
    <row r="87" spans="1:36" x14ac:dyDescent="0.25">
      <c r="A87" s="70"/>
      <c r="B87" s="70"/>
      <c r="C87" s="70"/>
      <c r="D87" s="70"/>
      <c r="E87" s="70"/>
      <c r="F87" s="70"/>
      <c r="J87" s="65" t="s">
        <v>353</v>
      </c>
      <c r="K87" s="65" t="s">
        <v>171</v>
      </c>
      <c r="L87" s="65" t="s">
        <v>292</v>
      </c>
      <c r="M87" s="65" t="s">
        <v>293</v>
      </c>
      <c r="N87" s="66" t="s">
        <v>338</v>
      </c>
      <c r="O87" s="65" t="s">
        <v>354</v>
      </c>
      <c r="P87" s="65">
        <v>5</v>
      </c>
      <c r="Q87" s="65"/>
      <c r="R87" s="65">
        <f>Tabela393[[#This Row],[Atividade]]*Tabela393[[#This Row],[Quant.]]</f>
        <v>0</v>
      </c>
      <c r="S87" s="84"/>
      <c r="T87" s="70"/>
      <c r="X87" s="70"/>
      <c r="AB87" s="83"/>
      <c r="AC87" s="83"/>
      <c r="AD87" s="83"/>
      <c r="AE87" s="83"/>
      <c r="AF87" s="83"/>
      <c r="AG87" s="93" t="s">
        <v>145</v>
      </c>
      <c r="AH87" s="66" t="s">
        <v>330</v>
      </c>
      <c r="AI87" s="66" t="s">
        <v>83</v>
      </c>
      <c r="AJ87" s="94">
        <v>1</v>
      </c>
    </row>
    <row r="88" spans="1:36" x14ac:dyDescent="0.25">
      <c r="A88" s="70"/>
      <c r="B88" s="70"/>
      <c r="C88" s="70"/>
      <c r="D88" s="70"/>
      <c r="E88" s="70"/>
      <c r="F88" s="70"/>
      <c r="J88" s="65" t="s">
        <v>355</v>
      </c>
      <c r="K88" s="65" t="s">
        <v>171</v>
      </c>
      <c r="L88" s="65" t="s">
        <v>292</v>
      </c>
      <c r="M88" s="65" t="s">
        <v>293</v>
      </c>
      <c r="N88" s="66" t="s">
        <v>338</v>
      </c>
      <c r="O88" s="65" t="s">
        <v>356</v>
      </c>
      <c r="P88" s="65">
        <v>4</v>
      </c>
      <c r="Q88" s="65"/>
      <c r="R88" s="65">
        <f>Tabela393[[#This Row],[Atividade]]*Tabela393[[#This Row],[Quant.]]</f>
        <v>0</v>
      </c>
      <c r="S88" s="84" t="s">
        <v>339</v>
      </c>
      <c r="T88" s="70"/>
      <c r="X88" s="70"/>
      <c r="AB88" s="83"/>
      <c r="AC88" s="83"/>
      <c r="AD88" s="83"/>
      <c r="AE88" s="83"/>
      <c r="AF88" s="83"/>
      <c r="AG88" s="93" t="s">
        <v>145</v>
      </c>
      <c r="AH88" s="66" t="s">
        <v>330</v>
      </c>
      <c r="AI88" s="66" t="s">
        <v>82</v>
      </c>
      <c r="AJ88" s="94">
        <v>1</v>
      </c>
    </row>
    <row r="89" spans="1:36" x14ac:dyDescent="0.25">
      <c r="A89" s="70"/>
      <c r="B89" s="70"/>
      <c r="C89" s="70"/>
      <c r="D89" s="70"/>
      <c r="E89" s="70"/>
      <c r="F89" s="70"/>
      <c r="J89" s="65" t="s">
        <v>357</v>
      </c>
      <c r="K89" s="65" t="s">
        <v>171</v>
      </c>
      <c r="L89" s="65" t="s">
        <v>292</v>
      </c>
      <c r="M89" s="65" t="s">
        <v>293</v>
      </c>
      <c r="N89" s="66" t="s">
        <v>338</v>
      </c>
      <c r="O89" s="65" t="s">
        <v>358</v>
      </c>
      <c r="P89" s="65">
        <v>3</v>
      </c>
      <c r="Q89" s="65"/>
      <c r="R89" s="65">
        <f>Tabela393[[#This Row],[Atividade]]*Tabela393[[#This Row],[Quant.]]</f>
        <v>0</v>
      </c>
      <c r="S89" s="84"/>
      <c r="T89" s="70"/>
      <c r="X89" s="70"/>
      <c r="AB89" s="83"/>
      <c r="AC89" s="83"/>
      <c r="AD89" s="83"/>
      <c r="AE89" s="83"/>
      <c r="AF89" s="83"/>
      <c r="AG89" s="93" t="s">
        <v>145</v>
      </c>
      <c r="AH89" s="66" t="s">
        <v>330</v>
      </c>
      <c r="AI89" s="66" t="s">
        <v>79</v>
      </c>
      <c r="AJ89" s="94">
        <v>1</v>
      </c>
    </row>
    <row r="90" spans="1:36" x14ac:dyDescent="0.25">
      <c r="A90" s="70"/>
      <c r="B90" s="70"/>
      <c r="C90" s="70"/>
      <c r="D90" s="70"/>
      <c r="E90" s="70"/>
      <c r="F90" s="70"/>
      <c r="J90" s="65" t="s">
        <v>359</v>
      </c>
      <c r="K90" s="65" t="s">
        <v>171</v>
      </c>
      <c r="L90" s="65" t="s">
        <v>292</v>
      </c>
      <c r="M90" s="65" t="s">
        <v>293</v>
      </c>
      <c r="N90" s="66" t="s">
        <v>338</v>
      </c>
      <c r="O90" s="65" t="s">
        <v>360</v>
      </c>
      <c r="P90" s="65">
        <v>2</v>
      </c>
      <c r="Q90" s="65"/>
      <c r="R90" s="65">
        <f>Tabela393[[#This Row],[Atividade]]*Tabela393[[#This Row],[Quant.]]</f>
        <v>0</v>
      </c>
      <c r="S90" s="84" t="s">
        <v>339</v>
      </c>
      <c r="T90" s="70"/>
      <c r="X90" s="70"/>
      <c r="AB90" s="83"/>
      <c r="AC90" s="83"/>
      <c r="AD90" s="83"/>
      <c r="AE90" s="83"/>
      <c r="AF90" s="83"/>
      <c r="AG90" s="93" t="s">
        <v>145</v>
      </c>
      <c r="AH90" s="66" t="s">
        <v>330</v>
      </c>
      <c r="AI90" s="66" t="s">
        <v>81</v>
      </c>
      <c r="AJ90" s="94">
        <v>1</v>
      </c>
    </row>
    <row r="91" spans="1:36" x14ac:dyDescent="0.25">
      <c r="A91" s="70"/>
      <c r="B91" s="70"/>
      <c r="C91" s="70"/>
      <c r="D91" s="99"/>
      <c r="E91" s="70"/>
      <c r="F91" s="70"/>
      <c r="J91" s="65" t="s">
        <v>361</v>
      </c>
      <c r="K91" s="65" t="s">
        <v>171</v>
      </c>
      <c r="L91" s="65" t="s">
        <v>292</v>
      </c>
      <c r="M91" s="65" t="s">
        <v>293</v>
      </c>
      <c r="N91" s="66" t="s">
        <v>338</v>
      </c>
      <c r="O91" s="65" t="s">
        <v>362</v>
      </c>
      <c r="P91" s="65">
        <v>1</v>
      </c>
      <c r="Q91" s="65"/>
      <c r="R91" s="65">
        <f>Tabela393[[#This Row],[Atividade]]*Tabela393[[#This Row],[Quant.]]</f>
        <v>0</v>
      </c>
      <c r="S91" s="84"/>
      <c r="T91" s="70"/>
      <c r="X91" s="70"/>
      <c r="AB91" s="83"/>
      <c r="AC91" s="83"/>
      <c r="AD91" s="83"/>
      <c r="AE91" s="83"/>
      <c r="AF91" s="83"/>
      <c r="AG91" s="93" t="s">
        <v>145</v>
      </c>
      <c r="AH91" s="66" t="s">
        <v>330</v>
      </c>
      <c r="AI91" s="66" t="s">
        <v>80</v>
      </c>
      <c r="AJ91" s="94">
        <v>1</v>
      </c>
    </row>
    <row r="92" spans="1:36" x14ac:dyDescent="0.25">
      <c r="A92" s="70"/>
      <c r="B92" s="70"/>
      <c r="C92" s="70"/>
      <c r="D92" s="70"/>
      <c r="E92" s="70"/>
      <c r="F92" s="70"/>
      <c r="J92" s="65" t="s">
        <v>363</v>
      </c>
      <c r="K92" s="65" t="s">
        <v>302</v>
      </c>
      <c r="L92" s="65" t="s">
        <v>292</v>
      </c>
      <c r="M92" s="65" t="s">
        <v>293</v>
      </c>
      <c r="N92" s="66" t="s">
        <v>338</v>
      </c>
      <c r="O92" s="65" t="s">
        <v>364</v>
      </c>
      <c r="P92" s="65">
        <v>7</v>
      </c>
      <c r="Q92" s="65">
        <v>4</v>
      </c>
      <c r="R92" s="65">
        <f>Tabela393[[#This Row],[Atividade]]*Tabela393[[#This Row],[Quant.]]</f>
        <v>28</v>
      </c>
      <c r="S92" s="84"/>
      <c r="T92" s="70"/>
      <c r="X92" s="70"/>
      <c r="AB92" s="83"/>
      <c r="AC92" s="83"/>
      <c r="AD92" s="83"/>
      <c r="AE92" s="83"/>
      <c r="AF92" s="83"/>
      <c r="AG92" s="93" t="s">
        <v>145</v>
      </c>
      <c r="AH92" s="66" t="s">
        <v>330</v>
      </c>
      <c r="AI92" s="66" t="s">
        <v>300</v>
      </c>
      <c r="AJ92" s="94">
        <v>1</v>
      </c>
    </row>
    <row r="93" spans="1:36" x14ac:dyDescent="0.25">
      <c r="A93" s="70"/>
      <c r="B93" s="70"/>
      <c r="C93" s="70"/>
      <c r="D93" s="70"/>
      <c r="E93" s="70"/>
      <c r="F93" s="70"/>
      <c r="J93" s="65" t="s">
        <v>365</v>
      </c>
      <c r="K93" s="65" t="s">
        <v>302</v>
      </c>
      <c r="L93" s="65" t="s">
        <v>292</v>
      </c>
      <c r="M93" s="65" t="s">
        <v>293</v>
      </c>
      <c r="N93" s="66" t="s">
        <v>338</v>
      </c>
      <c r="O93" s="65" t="s">
        <v>366</v>
      </c>
      <c r="P93" s="65">
        <v>6</v>
      </c>
      <c r="Q93" s="65"/>
      <c r="R93" s="65">
        <f>Tabela393[[#This Row],[Atividade]]*Tabela393[[#This Row],[Quant.]]</f>
        <v>0</v>
      </c>
      <c r="S93" s="84" t="s">
        <v>339</v>
      </c>
      <c r="T93" s="70"/>
      <c r="X93" s="70"/>
      <c r="AB93" s="83"/>
      <c r="AC93" s="83"/>
      <c r="AD93" s="83"/>
      <c r="AE93" s="83"/>
      <c r="AF93" s="83"/>
      <c r="AG93" s="93" t="s">
        <v>145</v>
      </c>
      <c r="AH93" s="66" t="s">
        <v>330</v>
      </c>
      <c r="AI93" s="66" t="s">
        <v>303</v>
      </c>
      <c r="AJ93" s="94">
        <v>1</v>
      </c>
    </row>
    <row r="94" spans="1:36" x14ac:dyDescent="0.25">
      <c r="A94" s="70"/>
      <c r="B94" s="70"/>
      <c r="C94" s="70"/>
      <c r="D94" s="70"/>
      <c r="E94" s="70"/>
      <c r="F94" s="70"/>
      <c r="J94" s="65" t="s">
        <v>367</v>
      </c>
      <c r="K94" s="65" t="s">
        <v>302</v>
      </c>
      <c r="L94" s="65" t="s">
        <v>292</v>
      </c>
      <c r="M94" s="65" t="s">
        <v>293</v>
      </c>
      <c r="N94" s="66" t="s">
        <v>338</v>
      </c>
      <c r="O94" s="65" t="s">
        <v>368</v>
      </c>
      <c r="P94" s="65">
        <v>5</v>
      </c>
      <c r="Q94" s="65"/>
      <c r="R94" s="65">
        <f>Tabela393[[#This Row],[Atividade]]*Tabela393[[#This Row],[Quant.]]</f>
        <v>0</v>
      </c>
      <c r="S94" s="84" t="s">
        <v>339</v>
      </c>
      <c r="T94" s="70"/>
      <c r="X94" s="70"/>
      <c r="AB94" s="83"/>
      <c r="AC94" s="83"/>
      <c r="AD94" s="83"/>
      <c r="AE94" s="83"/>
      <c r="AF94" s="83"/>
      <c r="AG94" s="93" t="s">
        <v>145</v>
      </c>
      <c r="AH94" s="66" t="s">
        <v>369</v>
      </c>
      <c r="AI94" s="66" t="s">
        <v>96</v>
      </c>
      <c r="AJ94" s="94">
        <v>1</v>
      </c>
    </row>
    <row r="95" spans="1:36" x14ac:dyDescent="0.25">
      <c r="A95" s="70"/>
      <c r="B95" s="70"/>
      <c r="C95" s="70"/>
      <c r="D95" s="70"/>
      <c r="E95" s="70"/>
      <c r="F95" s="70"/>
      <c r="J95" s="65" t="s">
        <v>370</v>
      </c>
      <c r="K95" s="65" t="s">
        <v>302</v>
      </c>
      <c r="L95" s="65" t="s">
        <v>292</v>
      </c>
      <c r="M95" s="65" t="s">
        <v>293</v>
      </c>
      <c r="N95" s="66" t="s">
        <v>338</v>
      </c>
      <c r="O95" s="65" t="s">
        <v>371</v>
      </c>
      <c r="P95" s="65">
        <v>4</v>
      </c>
      <c r="Q95" s="65"/>
      <c r="R95" s="65">
        <f>Tabela393[[#This Row],[Atividade]]*Tabela393[[#This Row],[Quant.]]</f>
        <v>0</v>
      </c>
      <c r="S95" s="84"/>
      <c r="T95" s="70"/>
      <c r="X95" s="70"/>
      <c r="AB95" s="83"/>
      <c r="AC95" s="83"/>
      <c r="AD95" s="83"/>
      <c r="AE95" s="83"/>
      <c r="AF95" s="83"/>
      <c r="AG95" s="93" t="s">
        <v>145</v>
      </c>
      <c r="AH95" s="66" t="s">
        <v>369</v>
      </c>
      <c r="AI95" s="66" t="s">
        <v>95</v>
      </c>
      <c r="AJ95" s="94">
        <v>1</v>
      </c>
    </row>
    <row r="96" spans="1:36" x14ac:dyDescent="0.25">
      <c r="A96" s="70"/>
      <c r="B96" s="70"/>
      <c r="C96" s="70"/>
      <c r="D96" s="70"/>
      <c r="E96" s="70"/>
      <c r="F96" s="70"/>
      <c r="J96" s="65" t="s">
        <v>372</v>
      </c>
      <c r="K96" s="65" t="s">
        <v>302</v>
      </c>
      <c r="L96" s="65" t="s">
        <v>292</v>
      </c>
      <c r="M96" s="65" t="s">
        <v>293</v>
      </c>
      <c r="N96" s="66" t="s">
        <v>338</v>
      </c>
      <c r="O96" s="65" t="s">
        <v>336</v>
      </c>
      <c r="P96" s="65">
        <v>3</v>
      </c>
      <c r="Q96" s="65"/>
      <c r="R96" s="65">
        <f>Tabela393[[#This Row],[Atividade]]*Tabela393[[#This Row],[Quant.]]</f>
        <v>0</v>
      </c>
      <c r="S96" s="84"/>
      <c r="T96" s="70"/>
      <c r="X96" s="70"/>
      <c r="AB96" s="83"/>
      <c r="AC96" s="83"/>
      <c r="AD96" s="83"/>
      <c r="AE96" s="83"/>
      <c r="AF96" s="83"/>
      <c r="AG96" s="93" t="s">
        <v>145</v>
      </c>
      <c r="AH96" s="66" t="s">
        <v>369</v>
      </c>
      <c r="AI96" s="66" t="s">
        <v>94</v>
      </c>
      <c r="AJ96" s="94">
        <v>1</v>
      </c>
    </row>
    <row r="97" spans="1:36" x14ac:dyDescent="0.25">
      <c r="A97" s="70"/>
      <c r="B97" s="70"/>
      <c r="C97" s="70"/>
      <c r="D97" s="70"/>
      <c r="E97" s="70"/>
      <c r="F97" s="70"/>
      <c r="J97" s="65" t="s">
        <v>373</v>
      </c>
      <c r="K97" s="65" t="s">
        <v>302</v>
      </c>
      <c r="L97" s="65" t="s">
        <v>292</v>
      </c>
      <c r="M97" s="65" t="s">
        <v>293</v>
      </c>
      <c r="N97" s="66" t="s">
        <v>338</v>
      </c>
      <c r="O97" s="65" t="s">
        <v>374</v>
      </c>
      <c r="P97" s="65">
        <v>2</v>
      </c>
      <c r="Q97" s="65"/>
      <c r="R97" s="65">
        <f>Tabela393[[#This Row],[Atividade]]*Tabela393[[#This Row],[Quant.]]</f>
        <v>0</v>
      </c>
      <c r="S97" s="84"/>
      <c r="T97" s="70"/>
      <c r="X97" s="70"/>
      <c r="AB97" s="83"/>
      <c r="AC97" s="83"/>
      <c r="AD97" s="83"/>
      <c r="AE97" s="83"/>
      <c r="AF97" s="83"/>
      <c r="AG97" s="93" t="s">
        <v>145</v>
      </c>
      <c r="AH97" s="66" t="s">
        <v>369</v>
      </c>
      <c r="AI97" s="66" t="s">
        <v>93</v>
      </c>
      <c r="AJ97" s="94">
        <v>1</v>
      </c>
    </row>
    <row r="98" spans="1:36" x14ac:dyDescent="0.25">
      <c r="A98" s="70"/>
      <c r="B98" s="70"/>
      <c r="C98" s="70"/>
      <c r="D98" s="70"/>
      <c r="E98" s="70"/>
      <c r="F98" s="70"/>
      <c r="J98" s="65" t="s">
        <v>375</v>
      </c>
      <c r="K98" s="65" t="s">
        <v>302</v>
      </c>
      <c r="L98" s="65" t="s">
        <v>292</v>
      </c>
      <c r="M98" s="65" t="s">
        <v>293</v>
      </c>
      <c r="N98" s="66" t="s">
        <v>338</v>
      </c>
      <c r="O98" s="65" t="s">
        <v>268</v>
      </c>
      <c r="P98" s="65">
        <v>1</v>
      </c>
      <c r="Q98" s="65"/>
      <c r="R98" s="65">
        <f>Tabela393[[#This Row],[Atividade]]*Tabela393[[#This Row],[Quant.]]</f>
        <v>0</v>
      </c>
      <c r="S98" s="84"/>
      <c r="T98" s="70"/>
      <c r="X98" s="70"/>
      <c r="AB98" s="83"/>
      <c r="AC98" s="83"/>
      <c r="AD98" s="83"/>
      <c r="AE98" s="83"/>
      <c r="AF98" s="83"/>
      <c r="AG98" s="93" t="s">
        <v>145</v>
      </c>
      <c r="AH98" s="66" t="s">
        <v>369</v>
      </c>
      <c r="AI98" s="66" t="s">
        <v>92</v>
      </c>
      <c r="AJ98" s="94">
        <v>1</v>
      </c>
    </row>
    <row r="99" spans="1:36" x14ac:dyDescent="0.25">
      <c r="A99" s="70"/>
      <c r="B99" s="70"/>
      <c r="C99" s="70"/>
      <c r="D99" s="70"/>
      <c r="E99" s="70"/>
      <c r="F99" s="70"/>
      <c r="J99" s="65" t="s">
        <v>376</v>
      </c>
      <c r="K99" s="65" t="s">
        <v>134</v>
      </c>
      <c r="L99" s="65" t="s">
        <v>135</v>
      </c>
      <c r="M99" s="65" t="s">
        <v>136</v>
      </c>
      <c r="N99" s="65" t="s">
        <v>377</v>
      </c>
      <c r="O99" s="65" t="s">
        <v>138</v>
      </c>
      <c r="P99" s="65"/>
      <c r="Q99" s="65"/>
      <c r="R99" s="65">
        <f>Tabela393[[#This Row],[Atividade]]*Tabela393[[#This Row],[Quant.]]</f>
        <v>0</v>
      </c>
      <c r="S99" s="84"/>
      <c r="T99" s="70"/>
      <c r="X99" s="70"/>
      <c r="AB99" s="83"/>
      <c r="AC99" s="83"/>
      <c r="AD99" s="83"/>
      <c r="AE99" s="83"/>
      <c r="AF99" s="83"/>
      <c r="AG99" s="93" t="s">
        <v>145</v>
      </c>
      <c r="AH99" s="66" t="s">
        <v>369</v>
      </c>
      <c r="AI99" s="66" t="s">
        <v>91</v>
      </c>
      <c r="AJ99" s="94">
        <v>1</v>
      </c>
    </row>
    <row r="100" spans="1:36" x14ac:dyDescent="0.25">
      <c r="A100" s="70"/>
      <c r="B100" s="70"/>
      <c r="C100" s="70"/>
      <c r="D100" s="70"/>
      <c r="E100" s="70"/>
      <c r="F100" s="70"/>
      <c r="J100" s="65" t="s">
        <v>378</v>
      </c>
      <c r="K100" s="65" t="s">
        <v>134</v>
      </c>
      <c r="L100" s="65" t="s">
        <v>135</v>
      </c>
      <c r="M100" s="65" t="s">
        <v>136</v>
      </c>
      <c r="N100" s="65" t="s">
        <v>377</v>
      </c>
      <c r="O100" s="65" t="s">
        <v>152</v>
      </c>
      <c r="P100" s="65"/>
      <c r="Q100" s="65"/>
      <c r="R100" s="65">
        <f>Tabela393[[#This Row],[Atividade]]*Tabela393[[#This Row],[Quant.]]</f>
        <v>0</v>
      </c>
      <c r="S100" s="84"/>
      <c r="T100" s="70"/>
      <c r="X100" s="70"/>
      <c r="AB100" s="83"/>
      <c r="AC100" s="83"/>
      <c r="AD100" s="83"/>
      <c r="AE100" s="83"/>
      <c r="AF100" s="83"/>
      <c r="AG100" s="93" t="s">
        <v>145</v>
      </c>
      <c r="AH100" s="66" t="s">
        <v>369</v>
      </c>
      <c r="AI100" s="66" t="s">
        <v>90</v>
      </c>
      <c r="AJ100" s="94">
        <v>1</v>
      </c>
    </row>
    <row r="101" spans="1:36" x14ac:dyDescent="0.25">
      <c r="A101" s="70"/>
      <c r="B101" s="70"/>
      <c r="C101" s="70"/>
      <c r="D101" s="70"/>
      <c r="E101" s="70"/>
      <c r="F101" s="70"/>
      <c r="J101" s="65" t="s">
        <v>379</v>
      </c>
      <c r="K101" s="65" t="s">
        <v>134</v>
      </c>
      <c r="L101" s="65" t="s">
        <v>135</v>
      </c>
      <c r="M101" s="65" t="s">
        <v>136</v>
      </c>
      <c r="N101" s="65" t="s">
        <v>377</v>
      </c>
      <c r="O101" s="65" t="s">
        <v>161</v>
      </c>
      <c r="P101" s="65"/>
      <c r="Q101" s="65"/>
      <c r="R101" s="65">
        <f>Tabela393[[#This Row],[Atividade]]*Tabela393[[#This Row],[Quant.]]</f>
        <v>0</v>
      </c>
      <c r="S101" s="84"/>
      <c r="T101" s="70"/>
      <c r="X101" s="70"/>
      <c r="AB101" s="83"/>
      <c r="AC101" s="83"/>
      <c r="AD101" s="83"/>
      <c r="AE101" s="83"/>
      <c r="AF101" s="83"/>
      <c r="AG101" s="93" t="s">
        <v>145</v>
      </c>
      <c r="AH101" s="66" t="s">
        <v>369</v>
      </c>
      <c r="AI101" s="66" t="s">
        <v>89</v>
      </c>
      <c r="AJ101" s="94">
        <v>1</v>
      </c>
    </row>
    <row r="102" spans="1:36" x14ac:dyDescent="0.25">
      <c r="A102" s="70"/>
      <c r="B102" s="70"/>
      <c r="C102" s="70"/>
      <c r="D102" s="70"/>
      <c r="E102" s="70"/>
      <c r="F102" s="70"/>
      <c r="J102" s="65" t="s">
        <v>380</v>
      </c>
      <c r="K102" s="65" t="s">
        <v>134</v>
      </c>
      <c r="L102" s="65" t="s">
        <v>135</v>
      </c>
      <c r="M102" s="65" t="s">
        <v>136</v>
      </c>
      <c r="N102" s="65" t="s">
        <v>377</v>
      </c>
      <c r="O102" s="65" t="s">
        <v>172</v>
      </c>
      <c r="P102" s="65"/>
      <c r="Q102" s="65"/>
      <c r="R102" s="65">
        <f>Tabela393[[#This Row],[Atividade]]*Tabela393[[#This Row],[Quant.]]</f>
        <v>0</v>
      </c>
      <c r="S102" s="84"/>
      <c r="T102" s="70"/>
      <c r="X102" s="70"/>
      <c r="AB102" s="83"/>
      <c r="AC102" s="83"/>
      <c r="AD102" s="83"/>
      <c r="AE102" s="83"/>
      <c r="AF102" s="83"/>
      <c r="AG102" s="93" t="s">
        <v>145</v>
      </c>
      <c r="AH102" s="66" t="s">
        <v>369</v>
      </c>
      <c r="AI102" s="66" t="s">
        <v>88</v>
      </c>
      <c r="AJ102" s="94">
        <v>1</v>
      </c>
    </row>
    <row r="103" spans="1:36" x14ac:dyDescent="0.25">
      <c r="A103" s="70"/>
      <c r="B103" s="70"/>
      <c r="C103" s="70"/>
      <c r="D103" s="70"/>
      <c r="E103" s="70"/>
      <c r="F103" s="70"/>
      <c r="J103" s="65" t="s">
        <v>381</v>
      </c>
      <c r="K103" s="65" t="s">
        <v>134</v>
      </c>
      <c r="L103" s="65" t="s">
        <v>135</v>
      </c>
      <c r="M103" s="65" t="s">
        <v>136</v>
      </c>
      <c r="N103" s="65" t="s">
        <v>382</v>
      </c>
      <c r="O103" s="65" t="s">
        <v>138</v>
      </c>
      <c r="P103" s="65"/>
      <c r="Q103" s="65"/>
      <c r="R103" s="65">
        <f>Tabela393[[#This Row],[Atividade]]*Tabela393[[#This Row],[Quant.]]</f>
        <v>0</v>
      </c>
      <c r="S103" s="84"/>
      <c r="T103" s="70"/>
      <c r="X103" s="70"/>
      <c r="AB103" s="83"/>
      <c r="AC103" s="83"/>
      <c r="AD103" s="83"/>
      <c r="AE103" s="83"/>
      <c r="AF103" s="83"/>
      <c r="AG103" s="93" t="s">
        <v>145</v>
      </c>
      <c r="AH103" s="66" t="s">
        <v>369</v>
      </c>
      <c r="AI103" s="66" t="s">
        <v>87</v>
      </c>
      <c r="AJ103" s="94">
        <v>1</v>
      </c>
    </row>
    <row r="104" spans="1:36" x14ac:dyDescent="0.25">
      <c r="A104" s="70"/>
      <c r="B104" s="70"/>
      <c r="C104" s="70"/>
      <c r="D104" s="70"/>
      <c r="E104" s="70"/>
      <c r="F104" s="70"/>
      <c r="J104" s="65" t="s">
        <v>383</v>
      </c>
      <c r="K104" s="65" t="s">
        <v>134</v>
      </c>
      <c r="L104" s="65" t="s">
        <v>135</v>
      </c>
      <c r="M104" s="65" t="s">
        <v>136</v>
      </c>
      <c r="N104" s="65" t="s">
        <v>382</v>
      </c>
      <c r="O104" s="65" t="s">
        <v>152</v>
      </c>
      <c r="P104" s="65"/>
      <c r="Q104" s="65"/>
      <c r="R104" s="65">
        <f>Tabela393[[#This Row],[Atividade]]*Tabela393[[#This Row],[Quant.]]</f>
        <v>0</v>
      </c>
      <c r="S104" s="84"/>
      <c r="T104" s="70"/>
      <c r="X104" s="70"/>
      <c r="AB104" s="83"/>
      <c r="AC104" s="83"/>
      <c r="AD104" s="83"/>
      <c r="AE104" s="83"/>
      <c r="AF104" s="83"/>
      <c r="AG104" s="93" t="s">
        <v>145</v>
      </c>
      <c r="AH104" s="66" t="s">
        <v>369</v>
      </c>
      <c r="AI104" s="66" t="s">
        <v>86</v>
      </c>
      <c r="AJ104" s="94">
        <v>1</v>
      </c>
    </row>
    <row r="105" spans="1:36" x14ac:dyDescent="0.25">
      <c r="A105" s="70"/>
      <c r="B105" s="70"/>
      <c r="C105" s="70"/>
      <c r="D105" s="70"/>
      <c r="E105" s="70"/>
      <c r="F105" s="70"/>
      <c r="J105" s="65" t="s">
        <v>384</v>
      </c>
      <c r="K105" s="65" t="s">
        <v>134</v>
      </c>
      <c r="L105" s="65" t="s">
        <v>135</v>
      </c>
      <c r="M105" s="65" t="s">
        <v>136</v>
      </c>
      <c r="N105" s="65" t="s">
        <v>382</v>
      </c>
      <c r="O105" s="65" t="s">
        <v>161</v>
      </c>
      <c r="P105" s="65"/>
      <c r="Q105" s="65"/>
      <c r="R105" s="65">
        <f>Tabela393[[#This Row],[Atividade]]*Tabela393[[#This Row],[Quant.]]</f>
        <v>0</v>
      </c>
      <c r="S105" s="84"/>
      <c r="T105" s="70"/>
      <c r="X105" s="70"/>
      <c r="AB105" s="83"/>
      <c r="AC105" s="83"/>
      <c r="AD105" s="83"/>
      <c r="AE105" s="83"/>
      <c r="AF105" s="83"/>
      <c r="AG105" s="93" t="s">
        <v>145</v>
      </c>
      <c r="AH105" s="66" t="s">
        <v>369</v>
      </c>
      <c r="AI105" s="66" t="s">
        <v>85</v>
      </c>
      <c r="AJ105" s="94">
        <v>1</v>
      </c>
    </row>
    <row r="106" spans="1:36" x14ac:dyDescent="0.25">
      <c r="A106" s="70"/>
      <c r="B106" s="70"/>
      <c r="C106" s="70"/>
      <c r="D106" s="70"/>
      <c r="E106" s="70"/>
      <c r="F106" s="70"/>
      <c r="J106" s="65" t="s">
        <v>385</v>
      </c>
      <c r="K106" s="65" t="s">
        <v>134</v>
      </c>
      <c r="L106" s="65" t="s">
        <v>135</v>
      </c>
      <c r="M106" s="65" t="s">
        <v>136</v>
      </c>
      <c r="N106" s="65" t="s">
        <v>382</v>
      </c>
      <c r="O106" s="65" t="s">
        <v>172</v>
      </c>
      <c r="P106" s="65"/>
      <c r="Q106" s="65"/>
      <c r="R106" s="65">
        <f>Tabela393[[#This Row],[Atividade]]*Tabela393[[#This Row],[Quant.]]</f>
        <v>0</v>
      </c>
      <c r="S106" s="84"/>
      <c r="T106" s="70"/>
      <c r="X106" s="70"/>
      <c r="AB106" s="83"/>
      <c r="AC106" s="83"/>
      <c r="AD106" s="83"/>
      <c r="AE106" s="83"/>
      <c r="AF106" s="83"/>
      <c r="AG106" s="93" t="s">
        <v>145</v>
      </c>
      <c r="AH106" s="66" t="s">
        <v>369</v>
      </c>
      <c r="AI106" s="66" t="s">
        <v>84</v>
      </c>
      <c r="AJ106" s="94">
        <v>1</v>
      </c>
    </row>
    <row r="107" spans="1:36" x14ac:dyDescent="0.25">
      <c r="A107" s="70"/>
      <c r="B107" s="70"/>
      <c r="C107" s="70"/>
      <c r="D107" s="70"/>
      <c r="E107" s="70"/>
      <c r="F107" s="70"/>
      <c r="J107" s="65" t="s">
        <v>386</v>
      </c>
      <c r="K107" s="65" t="s">
        <v>134</v>
      </c>
      <c r="L107" s="65" t="s">
        <v>135</v>
      </c>
      <c r="M107" s="65" t="s">
        <v>136</v>
      </c>
      <c r="N107" s="65" t="s">
        <v>382</v>
      </c>
      <c r="O107" s="65" t="s">
        <v>180</v>
      </c>
      <c r="P107" s="65"/>
      <c r="Q107" s="65"/>
      <c r="R107" s="65">
        <f>Tabela393[[#This Row],[Atividade]]*Tabela393[[#This Row],[Quant.]]</f>
        <v>0</v>
      </c>
      <c r="S107" s="84"/>
      <c r="T107" s="70"/>
      <c r="X107" s="70"/>
      <c r="AB107" s="83"/>
      <c r="AC107" s="83"/>
      <c r="AD107" s="83"/>
      <c r="AE107" s="83"/>
      <c r="AF107" s="83"/>
      <c r="AG107" s="93" t="s">
        <v>145</v>
      </c>
      <c r="AH107" s="66" t="s">
        <v>369</v>
      </c>
      <c r="AI107" s="66" t="s">
        <v>83</v>
      </c>
      <c r="AJ107" s="94">
        <v>1</v>
      </c>
    </row>
    <row r="108" spans="1:36" x14ac:dyDescent="0.25">
      <c r="A108" s="70"/>
      <c r="B108" s="70"/>
      <c r="C108" s="70"/>
      <c r="D108" s="70"/>
      <c r="E108" s="70"/>
      <c r="F108" s="70"/>
      <c r="J108" s="65" t="s">
        <v>387</v>
      </c>
      <c r="K108" s="65" t="s">
        <v>134</v>
      </c>
      <c r="L108" s="65" t="s">
        <v>135</v>
      </c>
      <c r="M108" s="65" t="s">
        <v>136</v>
      </c>
      <c r="N108" s="65" t="s">
        <v>382</v>
      </c>
      <c r="O108" s="65" t="s">
        <v>188</v>
      </c>
      <c r="P108" s="65"/>
      <c r="Q108" s="65"/>
      <c r="R108" s="65">
        <f>Tabela393[[#This Row],[Atividade]]*Tabela393[[#This Row],[Quant.]]</f>
        <v>0</v>
      </c>
      <c r="S108" s="84"/>
      <c r="T108" s="70"/>
      <c r="X108" s="70"/>
      <c r="AB108" s="83"/>
      <c r="AC108" s="83"/>
      <c r="AD108" s="83"/>
      <c r="AE108" s="83"/>
      <c r="AF108" s="83"/>
      <c r="AG108" s="93" t="s">
        <v>145</v>
      </c>
      <c r="AH108" s="66" t="s">
        <v>369</v>
      </c>
      <c r="AI108" s="66" t="s">
        <v>82</v>
      </c>
      <c r="AJ108" s="94">
        <v>1</v>
      </c>
    </row>
    <row r="109" spans="1:36" x14ac:dyDescent="0.25">
      <c r="A109" s="70"/>
      <c r="B109" s="70"/>
      <c r="C109" s="70"/>
      <c r="D109" s="70"/>
      <c r="E109" s="70"/>
      <c r="F109" s="70"/>
      <c r="J109" s="65" t="s">
        <v>388</v>
      </c>
      <c r="K109" s="65" t="s">
        <v>134</v>
      </c>
      <c r="L109" s="65" t="s">
        <v>135</v>
      </c>
      <c r="M109" s="65" t="s">
        <v>136</v>
      </c>
      <c r="N109" s="65" t="s">
        <v>382</v>
      </c>
      <c r="O109" s="65" t="s">
        <v>195</v>
      </c>
      <c r="P109" s="65"/>
      <c r="Q109" s="65"/>
      <c r="R109" s="65">
        <f>Tabela393[[#This Row],[Atividade]]*Tabela393[[#This Row],[Quant.]]</f>
        <v>0</v>
      </c>
      <c r="S109" s="84"/>
      <c r="T109" s="70"/>
      <c r="X109" s="70"/>
      <c r="AB109" s="83"/>
      <c r="AC109" s="83"/>
      <c r="AD109" s="83"/>
      <c r="AE109" s="83"/>
      <c r="AF109" s="83"/>
      <c r="AG109" s="93" t="s">
        <v>145</v>
      </c>
      <c r="AH109" s="66" t="s">
        <v>369</v>
      </c>
      <c r="AI109" s="66" t="s">
        <v>79</v>
      </c>
      <c r="AJ109" s="94">
        <v>1</v>
      </c>
    </row>
    <row r="110" spans="1:36" x14ac:dyDescent="0.25">
      <c r="A110" s="70"/>
      <c r="B110" s="70"/>
      <c r="C110" s="70"/>
      <c r="D110" s="70"/>
      <c r="E110" s="70"/>
      <c r="F110" s="70"/>
      <c r="J110" s="65" t="s">
        <v>389</v>
      </c>
      <c r="K110" s="65" t="s">
        <v>171</v>
      </c>
      <c r="L110" s="65" t="s">
        <v>292</v>
      </c>
      <c r="M110" s="65" t="s">
        <v>293</v>
      </c>
      <c r="N110" s="66" t="s">
        <v>390</v>
      </c>
      <c r="O110" s="65" t="s">
        <v>138</v>
      </c>
      <c r="P110" s="65">
        <v>1</v>
      </c>
      <c r="Q110" s="65"/>
      <c r="R110" s="65">
        <f>Tabela393[[#This Row],[Atividade]]*Tabela393[[#This Row],[Quant.]]</f>
        <v>0</v>
      </c>
      <c r="S110" s="84" t="s">
        <v>339</v>
      </c>
      <c r="T110" s="70"/>
      <c r="X110" s="70"/>
      <c r="AB110" s="83"/>
      <c r="AC110" s="83"/>
      <c r="AD110" s="83"/>
      <c r="AE110" s="83"/>
      <c r="AF110" s="83"/>
      <c r="AG110" s="93" t="s">
        <v>145</v>
      </c>
      <c r="AH110" s="66" t="s">
        <v>369</v>
      </c>
      <c r="AI110" s="66" t="s">
        <v>81</v>
      </c>
      <c r="AJ110" s="94">
        <v>1</v>
      </c>
    </row>
    <row r="111" spans="1:36" x14ac:dyDescent="0.25">
      <c r="A111" s="70"/>
      <c r="B111" s="70"/>
      <c r="C111" s="70"/>
      <c r="D111" s="70"/>
      <c r="E111" s="70"/>
      <c r="F111" s="70"/>
      <c r="J111" s="65" t="s">
        <v>391</v>
      </c>
      <c r="K111" s="65" t="s">
        <v>171</v>
      </c>
      <c r="L111" s="65" t="s">
        <v>292</v>
      </c>
      <c r="M111" s="65" t="s">
        <v>293</v>
      </c>
      <c r="N111" s="66" t="s">
        <v>390</v>
      </c>
      <c r="O111" s="65" t="s">
        <v>341</v>
      </c>
      <c r="P111" s="65">
        <v>2</v>
      </c>
      <c r="Q111" s="65"/>
      <c r="R111" s="65">
        <f>Tabela393[[#This Row],[Atividade]]*Tabela393[[#This Row],[Quant.]]</f>
        <v>0</v>
      </c>
      <c r="S111" s="84"/>
      <c r="T111" s="70"/>
      <c r="X111" s="70"/>
      <c r="AB111" s="83"/>
      <c r="AC111" s="83"/>
      <c r="AD111" s="83"/>
      <c r="AE111" s="83"/>
      <c r="AF111" s="83"/>
      <c r="AG111" s="93" t="s">
        <v>145</v>
      </c>
      <c r="AH111" s="66" t="s">
        <v>369</v>
      </c>
      <c r="AI111" s="66" t="s">
        <v>80</v>
      </c>
      <c r="AJ111" s="94">
        <v>1</v>
      </c>
    </row>
    <row r="112" spans="1:36" x14ac:dyDescent="0.25">
      <c r="A112" s="70"/>
      <c r="B112" s="70"/>
      <c r="C112" s="70"/>
      <c r="D112" s="70"/>
      <c r="E112" s="70"/>
      <c r="F112" s="70"/>
      <c r="J112" s="65" t="s">
        <v>392</v>
      </c>
      <c r="K112" s="65" t="s">
        <v>171</v>
      </c>
      <c r="L112" s="65" t="s">
        <v>292</v>
      </c>
      <c r="M112" s="65" t="s">
        <v>293</v>
      </c>
      <c r="N112" s="66" t="s">
        <v>390</v>
      </c>
      <c r="O112" s="65" t="s">
        <v>343</v>
      </c>
      <c r="P112" s="65">
        <v>3</v>
      </c>
      <c r="Q112" s="65"/>
      <c r="R112" s="65">
        <f>Tabela393[[#This Row],[Atividade]]*Tabela393[[#This Row],[Quant.]]</f>
        <v>0</v>
      </c>
      <c r="S112" s="84"/>
      <c r="T112" s="70"/>
      <c r="X112" s="70"/>
      <c r="AB112" s="83"/>
      <c r="AC112" s="83"/>
      <c r="AD112" s="83"/>
      <c r="AE112" s="83"/>
      <c r="AF112" s="83"/>
      <c r="AG112" s="93" t="s">
        <v>145</v>
      </c>
      <c r="AH112" s="66" t="s">
        <v>369</v>
      </c>
      <c r="AI112" s="66" t="s">
        <v>300</v>
      </c>
      <c r="AJ112" s="94">
        <v>1</v>
      </c>
    </row>
    <row r="113" spans="1:36" x14ac:dyDescent="0.25">
      <c r="A113" s="70"/>
      <c r="B113" s="70"/>
      <c r="C113" s="70"/>
      <c r="D113" s="70"/>
      <c r="E113" s="70"/>
      <c r="F113" s="70"/>
      <c r="J113" s="65" t="s">
        <v>393</v>
      </c>
      <c r="K113" s="65" t="s">
        <v>171</v>
      </c>
      <c r="L113" s="65" t="s">
        <v>292</v>
      </c>
      <c r="M113" s="65" t="s">
        <v>293</v>
      </c>
      <c r="N113" s="66" t="s">
        <v>390</v>
      </c>
      <c r="O113" s="65" t="s">
        <v>345</v>
      </c>
      <c r="P113" s="65">
        <v>4</v>
      </c>
      <c r="Q113" s="65"/>
      <c r="R113" s="65">
        <f>Tabela393[[#This Row],[Atividade]]*Tabela393[[#This Row],[Quant.]]</f>
        <v>0</v>
      </c>
      <c r="S113" s="84"/>
      <c r="T113" s="70"/>
      <c r="X113" s="70"/>
      <c r="AB113" s="83"/>
      <c r="AC113" s="83"/>
      <c r="AD113" s="83"/>
      <c r="AE113" s="83"/>
      <c r="AF113" s="83"/>
      <c r="AG113" s="93" t="s">
        <v>145</v>
      </c>
      <c r="AH113" s="66" t="s">
        <v>369</v>
      </c>
      <c r="AI113" s="66" t="s">
        <v>303</v>
      </c>
      <c r="AJ113" s="94">
        <v>1</v>
      </c>
    </row>
    <row r="114" spans="1:36" x14ac:dyDescent="0.25">
      <c r="A114" s="70"/>
      <c r="B114" s="70"/>
      <c r="C114" s="70"/>
      <c r="D114" s="70"/>
      <c r="E114" s="70"/>
      <c r="F114" s="70"/>
      <c r="J114" s="65" t="s">
        <v>394</v>
      </c>
      <c r="K114" s="65" t="s">
        <v>171</v>
      </c>
      <c r="L114" s="65" t="s">
        <v>292</v>
      </c>
      <c r="M114" s="65" t="s">
        <v>293</v>
      </c>
      <c r="N114" s="66" t="s">
        <v>390</v>
      </c>
      <c r="O114" s="65" t="s">
        <v>395</v>
      </c>
      <c r="P114" s="65">
        <v>5</v>
      </c>
      <c r="Q114" s="65"/>
      <c r="R114" s="65">
        <f>Tabela393[[#This Row],[Atividade]]*Tabela393[[#This Row],[Quant.]]</f>
        <v>0</v>
      </c>
      <c r="S114" s="84" t="s">
        <v>339</v>
      </c>
      <c r="T114" s="70"/>
      <c r="X114" s="70"/>
      <c r="AB114" s="83"/>
      <c r="AC114" s="83"/>
      <c r="AD114" s="83"/>
      <c r="AE114" s="83"/>
      <c r="AF114" s="83"/>
      <c r="AG114" s="93" t="s">
        <v>145</v>
      </c>
      <c r="AH114" s="66" t="s">
        <v>396</v>
      </c>
      <c r="AI114" s="66" t="s">
        <v>397</v>
      </c>
      <c r="AJ114" s="94">
        <v>1</v>
      </c>
    </row>
    <row r="115" spans="1:36" x14ac:dyDescent="0.25">
      <c r="A115" s="70"/>
      <c r="B115" s="70"/>
      <c r="C115" s="70"/>
      <c r="D115" s="70"/>
      <c r="E115" s="70"/>
      <c r="F115" s="70"/>
      <c r="J115" s="65" t="s">
        <v>398</v>
      </c>
      <c r="K115" s="65" t="s">
        <v>171</v>
      </c>
      <c r="L115" s="65" t="s">
        <v>292</v>
      </c>
      <c r="M115" s="65" t="s">
        <v>293</v>
      </c>
      <c r="N115" s="66" t="s">
        <v>390</v>
      </c>
      <c r="O115" s="65" t="s">
        <v>347</v>
      </c>
      <c r="P115" s="65">
        <v>6</v>
      </c>
      <c r="Q115" s="65"/>
      <c r="R115" s="65">
        <f>Tabela393[[#This Row],[Atividade]]*Tabela393[[#This Row],[Quant.]]</f>
        <v>0</v>
      </c>
      <c r="S115" s="84"/>
      <c r="T115" s="70"/>
      <c r="X115" s="70"/>
      <c r="AB115" s="83"/>
      <c r="AC115" s="83"/>
      <c r="AD115" s="83"/>
      <c r="AE115" s="83"/>
      <c r="AF115" s="83"/>
      <c r="AG115" s="93" t="s">
        <v>399</v>
      </c>
      <c r="AH115" s="66" t="s">
        <v>400</v>
      </c>
      <c r="AI115" s="66" t="s">
        <v>401</v>
      </c>
      <c r="AJ115" s="94">
        <v>1</v>
      </c>
    </row>
    <row r="116" spans="1:36" x14ac:dyDescent="0.25">
      <c r="A116" s="70"/>
      <c r="B116" s="70"/>
      <c r="C116" s="70"/>
      <c r="D116" s="70"/>
      <c r="E116" s="70"/>
      <c r="F116" s="70"/>
      <c r="J116" s="65" t="s">
        <v>402</v>
      </c>
      <c r="K116" s="65" t="s">
        <v>171</v>
      </c>
      <c r="L116" s="65" t="s">
        <v>292</v>
      </c>
      <c r="M116" s="65" t="s">
        <v>293</v>
      </c>
      <c r="N116" s="66" t="s">
        <v>390</v>
      </c>
      <c r="O116" s="65" t="s">
        <v>403</v>
      </c>
      <c r="P116" s="65">
        <v>7</v>
      </c>
      <c r="Q116" s="65"/>
      <c r="R116" s="65">
        <f>Tabela393[[#This Row],[Atividade]]*Tabela393[[#This Row],[Quant.]]</f>
        <v>0</v>
      </c>
      <c r="S116" s="84" t="s">
        <v>339</v>
      </c>
      <c r="T116" s="70"/>
      <c r="X116" s="70"/>
      <c r="AB116" s="83"/>
      <c r="AC116" s="83"/>
      <c r="AD116" s="83"/>
      <c r="AE116" s="83"/>
      <c r="AF116" s="83"/>
      <c r="AG116" s="93" t="s">
        <v>399</v>
      </c>
      <c r="AH116" s="66" t="s">
        <v>404</v>
      </c>
      <c r="AI116" s="66" t="s">
        <v>185</v>
      </c>
      <c r="AJ116" s="94">
        <v>1</v>
      </c>
    </row>
    <row r="117" spans="1:36" x14ac:dyDescent="0.25">
      <c r="A117" s="70"/>
      <c r="B117" s="70"/>
      <c r="C117" s="70"/>
      <c r="D117" s="70"/>
      <c r="E117" s="70"/>
      <c r="F117" s="70"/>
      <c r="J117" s="65" t="s">
        <v>405</v>
      </c>
      <c r="K117" s="65" t="s">
        <v>171</v>
      </c>
      <c r="L117" s="65" t="s">
        <v>292</v>
      </c>
      <c r="M117" s="65" t="s">
        <v>293</v>
      </c>
      <c r="N117" s="66" t="s">
        <v>390</v>
      </c>
      <c r="O117" s="65" t="s">
        <v>406</v>
      </c>
      <c r="P117" s="65">
        <v>8</v>
      </c>
      <c r="Q117" s="65"/>
      <c r="R117" s="65">
        <f>Tabela393[[#This Row],[Atividade]]*Tabela393[[#This Row],[Quant.]]</f>
        <v>0</v>
      </c>
      <c r="S117" s="84"/>
      <c r="T117" s="70"/>
      <c r="X117" s="70"/>
      <c r="AB117" s="83"/>
      <c r="AC117" s="83"/>
      <c r="AD117" s="83"/>
      <c r="AE117" s="83"/>
      <c r="AF117" s="83"/>
      <c r="AG117" s="93" t="s">
        <v>399</v>
      </c>
      <c r="AH117" s="66" t="s">
        <v>404</v>
      </c>
      <c r="AI117" s="66" t="s">
        <v>192</v>
      </c>
      <c r="AJ117" s="94">
        <v>1</v>
      </c>
    </row>
    <row r="118" spans="1:36" x14ac:dyDescent="0.25">
      <c r="A118" s="70"/>
      <c r="B118" s="70"/>
      <c r="C118" s="70"/>
      <c r="D118" s="70"/>
      <c r="E118" s="70"/>
      <c r="F118" s="70"/>
      <c r="J118" s="65" t="s">
        <v>407</v>
      </c>
      <c r="K118" s="65" t="s">
        <v>171</v>
      </c>
      <c r="L118" s="65" t="s">
        <v>292</v>
      </c>
      <c r="M118" s="65" t="s">
        <v>293</v>
      </c>
      <c r="N118" s="66" t="s">
        <v>390</v>
      </c>
      <c r="O118" s="65" t="s">
        <v>408</v>
      </c>
      <c r="P118" s="65">
        <v>9</v>
      </c>
      <c r="Q118" s="65"/>
      <c r="R118" s="65">
        <f>Tabela393[[#This Row],[Atividade]]*Tabela393[[#This Row],[Quant.]]</f>
        <v>0</v>
      </c>
      <c r="S118" s="84"/>
      <c r="T118" s="70"/>
      <c r="X118" s="70"/>
      <c r="AB118" s="83"/>
      <c r="AC118" s="83"/>
      <c r="AD118" s="83"/>
      <c r="AE118" s="83"/>
      <c r="AF118" s="83"/>
      <c r="AG118" s="93" t="s">
        <v>399</v>
      </c>
      <c r="AH118" s="66" t="s">
        <v>404</v>
      </c>
      <c r="AI118" s="66" t="s">
        <v>208</v>
      </c>
      <c r="AJ118" s="94">
        <v>2</v>
      </c>
    </row>
    <row r="119" spans="1:36" x14ac:dyDescent="0.25">
      <c r="A119" s="70"/>
      <c r="B119" s="70"/>
      <c r="C119" s="70"/>
      <c r="D119" s="70"/>
      <c r="E119" s="70"/>
      <c r="F119" s="70"/>
      <c r="J119" s="65" t="s">
        <v>409</v>
      </c>
      <c r="K119" s="65" t="s">
        <v>171</v>
      </c>
      <c r="L119" s="65" t="s">
        <v>292</v>
      </c>
      <c r="M119" s="65" t="s">
        <v>293</v>
      </c>
      <c r="N119" s="66" t="s">
        <v>390</v>
      </c>
      <c r="O119" s="65" t="s">
        <v>410</v>
      </c>
      <c r="P119" s="65">
        <v>10</v>
      </c>
      <c r="Q119" s="65">
        <v>4</v>
      </c>
      <c r="R119" s="65">
        <f>Tabela393[[#This Row],[Atividade]]*Tabela393[[#This Row],[Quant.]]</f>
        <v>40</v>
      </c>
      <c r="S119" s="84" t="s">
        <v>339</v>
      </c>
      <c r="T119" s="70"/>
      <c r="X119" s="70"/>
      <c r="AB119" s="83"/>
      <c r="AC119" s="83"/>
      <c r="AD119" s="83"/>
      <c r="AE119" s="83"/>
      <c r="AF119" s="83"/>
      <c r="AG119" s="93" t="s">
        <v>399</v>
      </c>
      <c r="AH119" s="66" t="s">
        <v>411</v>
      </c>
      <c r="AI119" s="66" t="s">
        <v>185</v>
      </c>
      <c r="AJ119" s="94">
        <v>1</v>
      </c>
    </row>
    <row r="120" spans="1:36" x14ac:dyDescent="0.25">
      <c r="A120" s="70"/>
      <c r="B120" s="70"/>
      <c r="C120" s="70"/>
      <c r="D120" s="70"/>
      <c r="E120" s="70"/>
      <c r="F120" s="70"/>
      <c r="J120" s="65" t="s">
        <v>412</v>
      </c>
      <c r="K120" s="65" t="s">
        <v>134</v>
      </c>
      <c r="L120" s="65" t="s">
        <v>292</v>
      </c>
      <c r="M120" s="65" t="s">
        <v>293</v>
      </c>
      <c r="N120" s="66" t="s">
        <v>390</v>
      </c>
      <c r="O120" s="65" t="s">
        <v>413</v>
      </c>
      <c r="P120" s="65">
        <v>8</v>
      </c>
      <c r="Q120" s="65">
        <v>4</v>
      </c>
      <c r="R120" s="65">
        <f>Tabela393[[#This Row],[Atividade]]*Tabela393[[#This Row],[Quant.]]</f>
        <v>32</v>
      </c>
      <c r="S120" s="84"/>
      <c r="T120" s="70"/>
      <c r="X120" s="70"/>
      <c r="AB120" s="83"/>
      <c r="AC120" s="83"/>
      <c r="AD120" s="83"/>
      <c r="AE120" s="83"/>
      <c r="AF120" s="83"/>
      <c r="AG120" s="93" t="s">
        <v>399</v>
      </c>
      <c r="AH120" s="66" t="s">
        <v>411</v>
      </c>
      <c r="AI120" s="66" t="s">
        <v>192</v>
      </c>
      <c r="AJ120" s="94">
        <v>1</v>
      </c>
    </row>
    <row r="121" spans="1:36" x14ac:dyDescent="0.25">
      <c r="A121" s="70"/>
      <c r="B121" s="70"/>
      <c r="C121" s="70"/>
      <c r="D121" s="70"/>
      <c r="E121" s="70"/>
      <c r="F121" s="70"/>
      <c r="J121" s="65" t="s">
        <v>414</v>
      </c>
      <c r="K121" s="65" t="s">
        <v>134</v>
      </c>
      <c r="L121" s="65" t="s">
        <v>292</v>
      </c>
      <c r="M121" s="65" t="s">
        <v>293</v>
      </c>
      <c r="N121" s="66" t="s">
        <v>390</v>
      </c>
      <c r="O121" s="65" t="s">
        <v>415</v>
      </c>
      <c r="P121" s="65">
        <v>7</v>
      </c>
      <c r="Q121" s="65"/>
      <c r="R121" s="65">
        <f>Tabela393[[#This Row],[Atividade]]*Tabela393[[#This Row],[Quant.]]</f>
        <v>0</v>
      </c>
      <c r="S121" s="84" t="s">
        <v>339</v>
      </c>
      <c r="T121" s="70"/>
      <c r="X121" s="70"/>
      <c r="AB121" s="83"/>
      <c r="AC121" s="83"/>
      <c r="AD121" s="83"/>
      <c r="AE121" s="83"/>
      <c r="AF121" s="83"/>
      <c r="AG121" s="93" t="s">
        <v>399</v>
      </c>
      <c r="AH121" s="66" t="s">
        <v>416</v>
      </c>
      <c r="AI121" s="66" t="s">
        <v>185</v>
      </c>
      <c r="AJ121" s="94">
        <v>1</v>
      </c>
    </row>
    <row r="122" spans="1:36" x14ac:dyDescent="0.25">
      <c r="A122" s="70"/>
      <c r="B122" s="70"/>
      <c r="C122" s="70"/>
      <c r="D122" s="70"/>
      <c r="E122" s="70"/>
      <c r="F122" s="70"/>
      <c r="J122" s="65" t="s">
        <v>417</v>
      </c>
      <c r="K122" s="65" t="s">
        <v>134</v>
      </c>
      <c r="L122" s="65" t="s">
        <v>292</v>
      </c>
      <c r="M122" s="65" t="s">
        <v>293</v>
      </c>
      <c r="N122" s="66" t="s">
        <v>390</v>
      </c>
      <c r="O122" s="65" t="s">
        <v>418</v>
      </c>
      <c r="P122" s="65">
        <v>6</v>
      </c>
      <c r="Q122" s="65"/>
      <c r="R122" s="65">
        <f>Tabela393[[#This Row],[Atividade]]*Tabela393[[#This Row],[Quant.]]</f>
        <v>0</v>
      </c>
      <c r="S122" s="84"/>
      <c r="T122" s="70"/>
      <c r="X122" s="70"/>
      <c r="AB122" s="83"/>
      <c r="AC122" s="83"/>
      <c r="AD122" s="83"/>
      <c r="AE122" s="83"/>
      <c r="AF122" s="83"/>
      <c r="AG122" s="93" t="s">
        <v>399</v>
      </c>
      <c r="AH122" s="66" t="s">
        <v>416</v>
      </c>
      <c r="AI122" s="66" t="s">
        <v>192</v>
      </c>
      <c r="AJ122" s="94">
        <v>1</v>
      </c>
    </row>
    <row r="123" spans="1:36" x14ac:dyDescent="0.25">
      <c r="A123" s="70"/>
      <c r="B123" s="70"/>
      <c r="C123" s="70"/>
      <c r="D123" s="70"/>
      <c r="E123" s="70"/>
      <c r="F123" s="70"/>
      <c r="J123" s="65" t="s">
        <v>419</v>
      </c>
      <c r="K123" s="65" t="s">
        <v>134</v>
      </c>
      <c r="L123" s="65" t="s">
        <v>292</v>
      </c>
      <c r="M123" s="65" t="s">
        <v>293</v>
      </c>
      <c r="N123" s="66" t="s">
        <v>390</v>
      </c>
      <c r="O123" s="65" t="s">
        <v>420</v>
      </c>
      <c r="P123" s="65">
        <v>5</v>
      </c>
      <c r="Q123" s="65"/>
      <c r="R123" s="65">
        <f>Tabela393[[#This Row],[Atividade]]*Tabela393[[#This Row],[Quant.]]</f>
        <v>0</v>
      </c>
      <c r="S123" s="84"/>
      <c r="T123" s="70"/>
      <c r="X123" s="70"/>
      <c r="AB123" s="83"/>
      <c r="AC123" s="83"/>
      <c r="AD123" s="83"/>
      <c r="AE123" s="83"/>
      <c r="AF123" s="83"/>
      <c r="AG123" s="93" t="s">
        <v>399</v>
      </c>
      <c r="AH123" s="66" t="s">
        <v>421</v>
      </c>
      <c r="AI123" s="66" t="s">
        <v>185</v>
      </c>
      <c r="AJ123" s="94">
        <v>1</v>
      </c>
    </row>
    <row r="124" spans="1:36" x14ac:dyDescent="0.25">
      <c r="A124" s="70"/>
      <c r="B124" s="70"/>
      <c r="C124" s="70"/>
      <c r="D124" s="70"/>
      <c r="E124" s="70"/>
      <c r="F124" s="70"/>
      <c r="J124" s="65" t="s">
        <v>422</v>
      </c>
      <c r="K124" s="65" t="s">
        <v>134</v>
      </c>
      <c r="L124" s="65" t="s">
        <v>292</v>
      </c>
      <c r="M124" s="65" t="s">
        <v>293</v>
      </c>
      <c r="N124" s="66" t="s">
        <v>390</v>
      </c>
      <c r="O124" s="65" t="s">
        <v>423</v>
      </c>
      <c r="P124" s="65">
        <v>4</v>
      </c>
      <c r="Q124" s="65"/>
      <c r="R124" s="65">
        <f>Tabela393[[#This Row],[Atividade]]*Tabela393[[#This Row],[Quant.]]</f>
        <v>0</v>
      </c>
      <c r="S124" s="84" t="s">
        <v>339</v>
      </c>
      <c r="T124" s="70"/>
      <c r="X124" s="70"/>
      <c r="AB124" s="83"/>
      <c r="AC124" s="83"/>
      <c r="AD124" s="83"/>
      <c r="AE124" s="83"/>
      <c r="AF124" s="83"/>
      <c r="AG124" s="93" t="s">
        <v>399</v>
      </c>
      <c r="AH124" s="66" t="s">
        <v>424</v>
      </c>
      <c r="AI124" s="66" t="s">
        <v>425</v>
      </c>
      <c r="AJ124" s="94">
        <v>1</v>
      </c>
    </row>
    <row r="125" spans="1:36" x14ac:dyDescent="0.25">
      <c r="A125" s="70"/>
      <c r="B125" s="70"/>
      <c r="C125" s="70"/>
      <c r="D125" s="70"/>
      <c r="E125" s="70"/>
      <c r="F125" s="70"/>
      <c r="J125" s="65" t="s">
        <v>426</v>
      </c>
      <c r="K125" s="65" t="s">
        <v>134</v>
      </c>
      <c r="L125" s="65" t="s">
        <v>292</v>
      </c>
      <c r="M125" s="65" t="s">
        <v>293</v>
      </c>
      <c r="N125" s="66" t="s">
        <v>390</v>
      </c>
      <c r="O125" s="65" t="s">
        <v>427</v>
      </c>
      <c r="P125" s="65">
        <v>3</v>
      </c>
      <c r="Q125" s="65"/>
      <c r="R125" s="65">
        <f>Tabela393[[#This Row],[Atividade]]*Tabela393[[#This Row],[Quant.]]</f>
        <v>0</v>
      </c>
      <c r="S125" s="84" t="s">
        <v>339</v>
      </c>
      <c r="T125" s="70"/>
      <c r="X125" s="70"/>
      <c r="AB125" s="83"/>
      <c r="AC125" s="83"/>
      <c r="AD125" s="83"/>
      <c r="AE125" s="83"/>
      <c r="AF125" s="83"/>
      <c r="AG125" s="93" t="s">
        <v>399</v>
      </c>
      <c r="AH125" s="66" t="s">
        <v>428</v>
      </c>
      <c r="AI125" s="66" t="s">
        <v>429</v>
      </c>
      <c r="AJ125" s="94">
        <v>1</v>
      </c>
    </row>
    <row r="126" spans="1:36" x14ac:dyDescent="0.25">
      <c r="A126" s="70"/>
      <c r="B126" s="70"/>
      <c r="C126" s="70"/>
      <c r="D126" s="70"/>
      <c r="E126" s="70"/>
      <c r="F126" s="70"/>
      <c r="J126" s="65" t="s">
        <v>430</v>
      </c>
      <c r="K126" s="65" t="s">
        <v>134</v>
      </c>
      <c r="L126" s="65" t="s">
        <v>292</v>
      </c>
      <c r="M126" s="65" t="s">
        <v>293</v>
      </c>
      <c r="N126" s="66" t="s">
        <v>390</v>
      </c>
      <c r="O126" s="65" t="s">
        <v>431</v>
      </c>
      <c r="P126" s="65">
        <v>2</v>
      </c>
      <c r="Q126" s="65"/>
      <c r="R126" s="65">
        <f>Tabela393[[#This Row],[Atividade]]*Tabela393[[#This Row],[Quant.]]</f>
        <v>0</v>
      </c>
      <c r="S126" s="84"/>
      <c r="T126" s="70"/>
      <c r="X126" s="70"/>
      <c r="AB126" s="83"/>
      <c r="AC126" s="83"/>
      <c r="AD126" s="83"/>
      <c r="AE126" s="83"/>
      <c r="AF126" s="83"/>
      <c r="AG126" s="93" t="s">
        <v>399</v>
      </c>
      <c r="AH126" s="66" t="s">
        <v>428</v>
      </c>
      <c r="AI126" s="66" t="s">
        <v>432</v>
      </c>
      <c r="AJ126" s="94">
        <v>1</v>
      </c>
    </row>
    <row r="127" spans="1:36" x14ac:dyDescent="0.25">
      <c r="A127" s="70"/>
      <c r="B127" s="70"/>
      <c r="C127" s="70"/>
      <c r="D127" s="70"/>
      <c r="E127" s="70"/>
      <c r="F127" s="70"/>
      <c r="J127" s="65" t="s">
        <v>433</v>
      </c>
      <c r="K127" s="65" t="s">
        <v>134</v>
      </c>
      <c r="L127" s="65" t="s">
        <v>292</v>
      </c>
      <c r="M127" s="65" t="s">
        <v>293</v>
      </c>
      <c r="N127" s="66" t="s">
        <v>390</v>
      </c>
      <c r="O127" s="65" t="s">
        <v>264</v>
      </c>
      <c r="P127" s="65">
        <v>1</v>
      </c>
      <c r="Q127" s="65"/>
      <c r="R127" s="65">
        <f>Tabela393[[#This Row],[Atividade]]*Tabela393[[#This Row],[Quant.]]</f>
        <v>0</v>
      </c>
      <c r="S127" s="84"/>
      <c r="T127" s="70"/>
      <c r="X127" s="70"/>
      <c r="AB127" s="83"/>
      <c r="AC127" s="83"/>
      <c r="AD127" s="83"/>
      <c r="AE127" s="83"/>
      <c r="AF127" s="83"/>
      <c r="AG127" s="93" t="s">
        <v>399</v>
      </c>
      <c r="AH127" s="66" t="s">
        <v>428</v>
      </c>
      <c r="AI127" s="66" t="s">
        <v>434</v>
      </c>
      <c r="AJ127" s="94">
        <v>1</v>
      </c>
    </row>
    <row r="128" spans="1:36" x14ac:dyDescent="0.25">
      <c r="A128" s="70"/>
      <c r="B128" s="70"/>
      <c r="C128" s="70"/>
      <c r="D128" s="70"/>
      <c r="E128" s="70"/>
      <c r="F128" s="70"/>
      <c r="J128" s="65" t="s">
        <v>435</v>
      </c>
      <c r="K128" s="65" t="s">
        <v>134</v>
      </c>
      <c r="L128" s="65" t="s">
        <v>135</v>
      </c>
      <c r="M128" s="65" t="s">
        <v>136</v>
      </c>
      <c r="N128" s="65" t="s">
        <v>436</v>
      </c>
      <c r="O128" s="65" t="s">
        <v>138</v>
      </c>
      <c r="P128" s="65"/>
      <c r="Q128" s="65"/>
      <c r="R128" s="65">
        <f>Tabela393[[#This Row],[Atividade]]*Tabela393[[#This Row],[Quant.]]</f>
        <v>0</v>
      </c>
      <c r="S128" s="84"/>
      <c r="T128" s="70"/>
      <c r="X128" s="70"/>
      <c r="AB128" s="83"/>
      <c r="AC128" s="83"/>
      <c r="AD128" s="83"/>
      <c r="AE128" s="83"/>
      <c r="AF128" s="83"/>
      <c r="AG128" s="93" t="s">
        <v>399</v>
      </c>
      <c r="AH128" s="66" t="s">
        <v>428</v>
      </c>
      <c r="AI128" s="66" t="s">
        <v>437</v>
      </c>
      <c r="AJ128" s="94">
        <v>1</v>
      </c>
    </row>
    <row r="129" spans="1:36" x14ac:dyDescent="0.25">
      <c r="A129" s="70"/>
      <c r="B129" s="70"/>
      <c r="C129" s="70"/>
      <c r="D129" s="70"/>
      <c r="E129" s="70"/>
      <c r="F129" s="70"/>
      <c r="J129" s="65" t="s">
        <v>438</v>
      </c>
      <c r="K129" s="65" t="s">
        <v>134</v>
      </c>
      <c r="L129" s="65" t="s">
        <v>135</v>
      </c>
      <c r="M129" s="65" t="s">
        <v>136</v>
      </c>
      <c r="N129" s="65" t="s">
        <v>436</v>
      </c>
      <c r="O129" s="65" t="s">
        <v>152</v>
      </c>
      <c r="P129" s="65"/>
      <c r="Q129" s="65"/>
      <c r="R129" s="65">
        <f>Tabela393[[#This Row],[Atividade]]*Tabela393[[#This Row],[Quant.]]</f>
        <v>0</v>
      </c>
      <c r="S129" s="84"/>
      <c r="T129" s="70"/>
      <c r="X129" s="70"/>
      <c r="AB129" s="83"/>
      <c r="AC129" s="83"/>
      <c r="AD129" s="83"/>
      <c r="AE129" s="83"/>
      <c r="AF129" s="83"/>
      <c r="AG129" s="93" t="s">
        <v>399</v>
      </c>
      <c r="AH129" s="66" t="s">
        <v>428</v>
      </c>
      <c r="AI129" s="66" t="s">
        <v>439</v>
      </c>
      <c r="AJ129" s="94">
        <v>1</v>
      </c>
    </row>
    <row r="130" spans="1:36" x14ac:dyDescent="0.25">
      <c r="A130" s="70"/>
      <c r="B130" s="70"/>
      <c r="C130" s="70"/>
      <c r="D130" s="70"/>
      <c r="E130" s="70"/>
      <c r="F130" s="70"/>
      <c r="J130" s="65" t="s">
        <v>440</v>
      </c>
      <c r="K130" s="65" t="s">
        <v>134</v>
      </c>
      <c r="L130" s="65" t="s">
        <v>135</v>
      </c>
      <c r="M130" s="65" t="s">
        <v>136</v>
      </c>
      <c r="N130" s="65" t="s">
        <v>436</v>
      </c>
      <c r="O130" s="65" t="s">
        <v>161</v>
      </c>
      <c r="P130" s="65"/>
      <c r="Q130" s="65"/>
      <c r="R130" s="65">
        <f>Tabela393[[#This Row],[Atividade]]*Tabela393[[#This Row],[Quant.]]</f>
        <v>0</v>
      </c>
      <c r="S130" s="84"/>
      <c r="T130" s="70"/>
      <c r="X130" s="70"/>
      <c r="AB130" s="83"/>
      <c r="AC130" s="83"/>
      <c r="AD130" s="83"/>
      <c r="AE130" s="83"/>
      <c r="AF130" s="83"/>
      <c r="AG130" s="93" t="s">
        <v>399</v>
      </c>
      <c r="AH130" s="66" t="s">
        <v>428</v>
      </c>
      <c r="AI130" s="66" t="s">
        <v>441</v>
      </c>
      <c r="AJ130" s="94">
        <v>1</v>
      </c>
    </row>
    <row r="131" spans="1:36" x14ac:dyDescent="0.25">
      <c r="A131" s="70"/>
      <c r="B131" s="70"/>
      <c r="C131" s="70"/>
      <c r="D131" s="70"/>
      <c r="E131" s="70"/>
      <c r="F131" s="70"/>
      <c r="J131" s="65" t="s">
        <v>442</v>
      </c>
      <c r="K131" s="65" t="s">
        <v>134</v>
      </c>
      <c r="L131" s="65" t="s">
        <v>135</v>
      </c>
      <c r="M131" s="65" t="s">
        <v>136</v>
      </c>
      <c r="N131" s="65" t="s">
        <v>436</v>
      </c>
      <c r="O131" s="65" t="s">
        <v>172</v>
      </c>
      <c r="P131" s="65"/>
      <c r="Q131" s="65"/>
      <c r="R131" s="65">
        <f>Tabela393[[#This Row],[Atividade]]*Tabela393[[#This Row],[Quant.]]</f>
        <v>0</v>
      </c>
      <c r="S131" s="84"/>
      <c r="T131" s="70"/>
      <c r="X131" s="70"/>
      <c r="AB131" s="83"/>
      <c r="AC131" s="83"/>
      <c r="AD131" s="83"/>
      <c r="AE131" s="83"/>
      <c r="AF131" s="83"/>
      <c r="AG131" s="93" t="s">
        <v>399</v>
      </c>
      <c r="AH131" s="66" t="s">
        <v>428</v>
      </c>
      <c r="AI131" s="66" t="s">
        <v>443</v>
      </c>
      <c r="AJ131" s="94">
        <v>1</v>
      </c>
    </row>
    <row r="132" spans="1:36" x14ac:dyDescent="0.25">
      <c r="A132" s="70"/>
      <c r="B132" s="70"/>
      <c r="C132" s="70"/>
      <c r="D132" s="70"/>
      <c r="E132" s="70"/>
      <c r="F132" s="70"/>
      <c r="J132" s="65" t="s">
        <v>444</v>
      </c>
      <c r="K132" s="65" t="s">
        <v>134</v>
      </c>
      <c r="L132" s="65" t="s">
        <v>135</v>
      </c>
      <c r="M132" s="65" t="s">
        <v>136</v>
      </c>
      <c r="N132" s="65" t="s">
        <v>436</v>
      </c>
      <c r="O132" s="65" t="s">
        <v>180</v>
      </c>
      <c r="P132" s="65"/>
      <c r="Q132" s="65"/>
      <c r="R132" s="65">
        <f>Tabela393[[#This Row],[Atividade]]*Tabela393[[#This Row],[Quant.]]</f>
        <v>0</v>
      </c>
      <c r="S132" s="84"/>
      <c r="T132" s="70"/>
      <c r="X132" s="70"/>
      <c r="AB132" s="83"/>
      <c r="AC132" s="83"/>
      <c r="AD132" s="83"/>
      <c r="AE132" s="83"/>
      <c r="AF132" s="83"/>
      <c r="AG132" s="93" t="s">
        <v>399</v>
      </c>
      <c r="AH132" s="66" t="s">
        <v>445</v>
      </c>
      <c r="AI132" s="66" t="s">
        <v>96</v>
      </c>
      <c r="AJ132" s="94">
        <v>1</v>
      </c>
    </row>
    <row r="133" spans="1:36" x14ac:dyDescent="0.25">
      <c r="A133" s="70"/>
      <c r="B133" s="70"/>
      <c r="C133" s="70"/>
      <c r="D133" s="70"/>
      <c r="E133" s="70"/>
      <c r="F133" s="70"/>
      <c r="J133" s="65" t="s">
        <v>446</v>
      </c>
      <c r="K133" s="65" t="s">
        <v>134</v>
      </c>
      <c r="L133" s="65" t="s">
        <v>135</v>
      </c>
      <c r="M133" s="65" t="s">
        <v>136</v>
      </c>
      <c r="N133" s="65" t="s">
        <v>436</v>
      </c>
      <c r="O133" s="65" t="s">
        <v>188</v>
      </c>
      <c r="P133" s="65"/>
      <c r="Q133" s="65"/>
      <c r="R133" s="65">
        <f>Tabela393[[#This Row],[Atividade]]*Tabela393[[#This Row],[Quant.]]</f>
        <v>0</v>
      </c>
      <c r="S133" s="84"/>
      <c r="T133" s="70"/>
      <c r="X133" s="70"/>
      <c r="AB133" s="83"/>
      <c r="AC133" s="83"/>
      <c r="AD133" s="83"/>
      <c r="AE133" s="83"/>
      <c r="AF133" s="83"/>
      <c r="AG133" s="93" t="s">
        <v>399</v>
      </c>
      <c r="AH133" s="66" t="s">
        <v>445</v>
      </c>
      <c r="AI133" s="66" t="s">
        <v>95</v>
      </c>
      <c r="AJ133" s="94">
        <v>1</v>
      </c>
    </row>
    <row r="134" spans="1:36" x14ac:dyDescent="0.25">
      <c r="A134" s="70"/>
      <c r="B134" s="70"/>
      <c r="C134" s="70"/>
      <c r="D134" s="70"/>
      <c r="E134" s="70"/>
      <c r="F134" s="70"/>
      <c r="J134" s="65" t="s">
        <v>447</v>
      </c>
      <c r="K134" s="65" t="s">
        <v>134</v>
      </c>
      <c r="L134" s="65" t="s">
        <v>135</v>
      </c>
      <c r="M134" s="65" t="s">
        <v>136</v>
      </c>
      <c r="N134" s="65" t="s">
        <v>436</v>
      </c>
      <c r="O134" s="65" t="s">
        <v>195</v>
      </c>
      <c r="P134" s="65"/>
      <c r="Q134" s="65"/>
      <c r="R134" s="65">
        <f>Tabela393[[#This Row],[Atividade]]*Tabela393[[#This Row],[Quant.]]</f>
        <v>0</v>
      </c>
      <c r="S134" s="84"/>
      <c r="T134" s="70"/>
      <c r="X134" s="70"/>
      <c r="AB134" s="83"/>
      <c r="AC134" s="83"/>
      <c r="AD134" s="83"/>
      <c r="AE134" s="83"/>
      <c r="AF134" s="83"/>
      <c r="AG134" s="93" t="s">
        <v>399</v>
      </c>
      <c r="AH134" s="66" t="s">
        <v>445</v>
      </c>
      <c r="AI134" s="66" t="s">
        <v>94</v>
      </c>
      <c r="AJ134" s="94">
        <v>1</v>
      </c>
    </row>
    <row r="135" spans="1:36" x14ac:dyDescent="0.25">
      <c r="A135" s="70"/>
      <c r="B135" s="70"/>
      <c r="C135" s="70"/>
      <c r="D135" s="70"/>
      <c r="E135" s="70"/>
      <c r="F135" s="70"/>
      <c r="J135" s="65" t="s">
        <v>448</v>
      </c>
      <c r="K135" s="65" t="s">
        <v>134</v>
      </c>
      <c r="L135" s="65" t="s">
        <v>135</v>
      </c>
      <c r="M135" s="65" t="s">
        <v>136</v>
      </c>
      <c r="N135" s="65" t="s">
        <v>436</v>
      </c>
      <c r="O135" s="65" t="s">
        <v>200</v>
      </c>
      <c r="P135" s="65"/>
      <c r="Q135" s="65"/>
      <c r="R135" s="65">
        <f>Tabela393[[#This Row],[Atividade]]*Tabela393[[#This Row],[Quant.]]</f>
        <v>0</v>
      </c>
      <c r="S135" s="84"/>
      <c r="T135" s="70"/>
      <c r="X135" s="70"/>
      <c r="AB135" s="83"/>
      <c r="AC135" s="83"/>
      <c r="AD135" s="83"/>
      <c r="AE135" s="83"/>
      <c r="AF135" s="83"/>
      <c r="AG135" s="93" t="s">
        <v>399</v>
      </c>
      <c r="AH135" s="66" t="s">
        <v>445</v>
      </c>
      <c r="AI135" s="66" t="s">
        <v>93</v>
      </c>
      <c r="AJ135" s="94">
        <v>1</v>
      </c>
    </row>
    <row r="136" spans="1:36" x14ac:dyDescent="0.25">
      <c r="A136" s="70"/>
      <c r="B136" s="70"/>
      <c r="C136" s="70"/>
      <c r="D136" s="70"/>
      <c r="E136" s="70"/>
      <c r="F136" s="70"/>
      <c r="J136" s="65" t="s">
        <v>449</v>
      </c>
      <c r="K136" s="65" t="s">
        <v>134</v>
      </c>
      <c r="L136" s="65" t="s">
        <v>135</v>
      </c>
      <c r="M136" s="65" t="s">
        <v>136</v>
      </c>
      <c r="N136" s="65" t="s">
        <v>436</v>
      </c>
      <c r="O136" s="65" t="s">
        <v>204</v>
      </c>
      <c r="P136" s="65"/>
      <c r="Q136" s="65"/>
      <c r="R136" s="65">
        <f>Tabela393[[#This Row],[Atividade]]*Tabela393[[#This Row],[Quant.]]</f>
        <v>0</v>
      </c>
      <c r="S136" s="84"/>
      <c r="T136" s="70"/>
      <c r="X136" s="70"/>
      <c r="AB136" s="83"/>
      <c r="AC136" s="83"/>
      <c r="AD136" s="83"/>
      <c r="AE136" s="83"/>
      <c r="AF136" s="83"/>
      <c r="AG136" s="93" t="s">
        <v>399</v>
      </c>
      <c r="AH136" s="66" t="s">
        <v>445</v>
      </c>
      <c r="AI136" s="66" t="s">
        <v>92</v>
      </c>
      <c r="AJ136" s="94">
        <v>1</v>
      </c>
    </row>
    <row r="137" spans="1:36" x14ac:dyDescent="0.25">
      <c r="A137" s="70"/>
      <c r="B137" s="70"/>
      <c r="C137" s="70"/>
      <c r="D137" s="70"/>
      <c r="E137" s="70"/>
      <c r="F137" s="70"/>
      <c r="J137" s="65" t="s">
        <v>450</v>
      </c>
      <c r="K137" s="65" t="s">
        <v>134</v>
      </c>
      <c r="L137" s="65" t="s">
        <v>135</v>
      </c>
      <c r="M137" s="65" t="s">
        <v>136</v>
      </c>
      <c r="N137" s="65" t="s">
        <v>436</v>
      </c>
      <c r="O137" s="65" t="s">
        <v>210</v>
      </c>
      <c r="P137" s="65"/>
      <c r="Q137" s="65"/>
      <c r="R137" s="65">
        <f>Tabela393[[#This Row],[Atividade]]*Tabela393[[#This Row],[Quant.]]</f>
        <v>0</v>
      </c>
      <c r="S137" s="84"/>
      <c r="T137" s="70"/>
      <c r="X137" s="70"/>
      <c r="AB137" s="83"/>
      <c r="AC137" s="83"/>
      <c r="AD137" s="83"/>
      <c r="AE137" s="83"/>
      <c r="AF137" s="83"/>
      <c r="AG137" s="93" t="s">
        <v>399</v>
      </c>
      <c r="AH137" s="66" t="s">
        <v>445</v>
      </c>
      <c r="AI137" s="66" t="s">
        <v>91</v>
      </c>
      <c r="AJ137" s="94">
        <v>1</v>
      </c>
    </row>
    <row r="138" spans="1:36" x14ac:dyDescent="0.25">
      <c r="A138" s="70"/>
      <c r="B138" s="70"/>
      <c r="C138" s="70"/>
      <c r="D138" s="70"/>
      <c r="E138" s="70"/>
      <c r="F138" s="70"/>
      <c r="J138" s="65" t="s">
        <v>451</v>
      </c>
      <c r="K138" s="65" t="s">
        <v>171</v>
      </c>
      <c r="L138" s="65" t="s">
        <v>135</v>
      </c>
      <c r="M138" s="65" t="s">
        <v>136</v>
      </c>
      <c r="N138" s="65" t="s">
        <v>436</v>
      </c>
      <c r="O138" s="65" t="s">
        <v>215</v>
      </c>
      <c r="P138" s="65"/>
      <c r="Q138" s="65"/>
      <c r="R138" s="65">
        <f>Tabela393[[#This Row],[Atividade]]*Tabela393[[#This Row],[Quant.]]</f>
        <v>0</v>
      </c>
      <c r="S138" s="84"/>
      <c r="T138" s="70"/>
      <c r="X138" s="70"/>
      <c r="AB138" s="83"/>
      <c r="AC138" s="83"/>
      <c r="AD138" s="83"/>
      <c r="AE138" s="83"/>
      <c r="AF138" s="83"/>
      <c r="AG138" s="93" t="s">
        <v>399</v>
      </c>
      <c r="AH138" s="66" t="s">
        <v>445</v>
      </c>
      <c r="AI138" s="66" t="s">
        <v>90</v>
      </c>
      <c r="AJ138" s="94">
        <v>1</v>
      </c>
    </row>
    <row r="139" spans="1:36" x14ac:dyDescent="0.25">
      <c r="A139" s="70"/>
      <c r="B139" s="70"/>
      <c r="C139" s="70"/>
      <c r="D139" s="70"/>
      <c r="E139" s="70"/>
      <c r="F139" s="70"/>
      <c r="J139" s="65" t="s">
        <v>452</v>
      </c>
      <c r="K139" s="65" t="s">
        <v>171</v>
      </c>
      <c r="L139" s="65" t="s">
        <v>135</v>
      </c>
      <c r="M139" s="65" t="s">
        <v>136</v>
      </c>
      <c r="N139" s="65" t="s">
        <v>436</v>
      </c>
      <c r="O139" s="65" t="s">
        <v>219</v>
      </c>
      <c r="P139" s="65"/>
      <c r="Q139" s="65"/>
      <c r="R139" s="65">
        <f>Tabela393[[#This Row],[Atividade]]*Tabela393[[#This Row],[Quant.]]</f>
        <v>0</v>
      </c>
      <c r="S139" s="84"/>
      <c r="T139" s="70"/>
      <c r="X139" s="70"/>
      <c r="AB139" s="83"/>
      <c r="AC139" s="83"/>
      <c r="AD139" s="83"/>
      <c r="AE139" s="83"/>
      <c r="AF139" s="83"/>
      <c r="AG139" s="93" t="s">
        <v>399</v>
      </c>
      <c r="AH139" s="66" t="s">
        <v>445</v>
      </c>
      <c r="AI139" s="66" t="s">
        <v>89</v>
      </c>
      <c r="AJ139" s="94">
        <v>1</v>
      </c>
    </row>
    <row r="140" spans="1:36" x14ac:dyDescent="0.25">
      <c r="A140" s="70"/>
      <c r="B140" s="70"/>
      <c r="C140" s="70"/>
      <c r="D140" s="70"/>
      <c r="E140" s="70"/>
      <c r="F140" s="70"/>
      <c r="J140" s="65" t="s">
        <v>453</v>
      </c>
      <c r="K140" s="65" t="s">
        <v>171</v>
      </c>
      <c r="L140" s="65" t="s">
        <v>135</v>
      </c>
      <c r="M140" s="65" t="s">
        <v>136</v>
      </c>
      <c r="N140" s="65" t="s">
        <v>436</v>
      </c>
      <c r="O140" s="65" t="s">
        <v>223</v>
      </c>
      <c r="P140" s="65"/>
      <c r="Q140" s="65"/>
      <c r="R140" s="65">
        <f>Tabela393[[#This Row],[Atividade]]*Tabela393[[#This Row],[Quant.]]</f>
        <v>0</v>
      </c>
      <c r="S140" s="84"/>
      <c r="T140" s="70"/>
      <c r="X140" s="70"/>
      <c r="AB140" s="83"/>
      <c r="AC140" s="83"/>
      <c r="AD140" s="83"/>
      <c r="AE140" s="83"/>
      <c r="AF140" s="83"/>
      <c r="AG140" s="93" t="s">
        <v>399</v>
      </c>
      <c r="AH140" s="66" t="s">
        <v>445</v>
      </c>
      <c r="AI140" s="66" t="s">
        <v>88</v>
      </c>
      <c r="AJ140" s="94">
        <v>1</v>
      </c>
    </row>
    <row r="141" spans="1:36" x14ac:dyDescent="0.25">
      <c r="A141" s="70"/>
      <c r="B141" s="70"/>
      <c r="C141" s="70"/>
      <c r="D141" s="70"/>
      <c r="E141" s="70"/>
      <c r="F141" s="70"/>
      <c r="J141" s="65" t="s">
        <v>454</v>
      </c>
      <c r="K141" s="65" t="s">
        <v>171</v>
      </c>
      <c r="L141" s="65" t="s">
        <v>135</v>
      </c>
      <c r="M141" s="65" t="s">
        <v>136</v>
      </c>
      <c r="N141" s="65" t="s">
        <v>436</v>
      </c>
      <c r="O141" s="65" t="s">
        <v>226</v>
      </c>
      <c r="P141" s="65"/>
      <c r="Q141" s="65"/>
      <c r="R141" s="65">
        <f>Tabela393[[#This Row],[Atividade]]*Tabela393[[#This Row],[Quant.]]</f>
        <v>0</v>
      </c>
      <c r="S141" s="84"/>
      <c r="T141" s="70"/>
      <c r="X141" s="70"/>
      <c r="AB141" s="83"/>
      <c r="AC141" s="83"/>
      <c r="AD141" s="83"/>
      <c r="AE141" s="83"/>
      <c r="AF141" s="83"/>
      <c r="AG141" s="93" t="s">
        <v>399</v>
      </c>
      <c r="AH141" s="66" t="s">
        <v>445</v>
      </c>
      <c r="AI141" s="66" t="s">
        <v>87</v>
      </c>
      <c r="AJ141" s="94">
        <v>1</v>
      </c>
    </row>
    <row r="142" spans="1:36" x14ac:dyDescent="0.25">
      <c r="A142" s="70"/>
      <c r="B142" s="70"/>
      <c r="C142" s="70"/>
      <c r="D142" s="70"/>
      <c r="E142" s="70"/>
      <c r="F142" s="70"/>
      <c r="J142" s="65" t="s">
        <v>455</v>
      </c>
      <c r="K142" s="65" t="s">
        <v>171</v>
      </c>
      <c r="L142" s="65" t="s">
        <v>135</v>
      </c>
      <c r="M142" s="65" t="s">
        <v>136</v>
      </c>
      <c r="N142" s="65" t="s">
        <v>436</v>
      </c>
      <c r="O142" s="65" t="s">
        <v>230</v>
      </c>
      <c r="P142" s="65"/>
      <c r="Q142" s="65"/>
      <c r="R142" s="65">
        <f>Tabela393[[#This Row],[Atividade]]*Tabela393[[#This Row],[Quant.]]</f>
        <v>0</v>
      </c>
      <c r="S142" s="84"/>
      <c r="T142" s="70"/>
      <c r="X142" s="70"/>
      <c r="AB142" s="83"/>
      <c r="AC142" s="83"/>
      <c r="AD142" s="83"/>
      <c r="AE142" s="83"/>
      <c r="AF142" s="83"/>
      <c r="AG142" s="93" t="s">
        <v>399</v>
      </c>
      <c r="AH142" s="66" t="s">
        <v>445</v>
      </c>
      <c r="AI142" s="66" t="s">
        <v>86</v>
      </c>
      <c r="AJ142" s="94">
        <v>1</v>
      </c>
    </row>
    <row r="143" spans="1:36" x14ac:dyDescent="0.25">
      <c r="A143" s="70"/>
      <c r="B143" s="70"/>
      <c r="C143" s="70"/>
      <c r="D143" s="70"/>
      <c r="E143" s="70"/>
      <c r="F143" s="70"/>
      <c r="J143" s="65" t="s">
        <v>456</v>
      </c>
      <c r="K143" s="65" t="s">
        <v>171</v>
      </c>
      <c r="L143" s="65" t="s">
        <v>135</v>
      </c>
      <c r="M143" s="65" t="s">
        <v>136</v>
      </c>
      <c r="N143" s="65" t="s">
        <v>436</v>
      </c>
      <c r="O143" s="65" t="s">
        <v>260</v>
      </c>
      <c r="P143" s="65"/>
      <c r="Q143" s="65"/>
      <c r="R143" s="65">
        <f>Tabela393[[#This Row],[Atividade]]*Tabela393[[#This Row],[Quant.]]</f>
        <v>0</v>
      </c>
      <c r="S143" s="84"/>
      <c r="T143" s="70"/>
      <c r="X143" s="70"/>
      <c r="AB143" s="83"/>
      <c r="AC143" s="83"/>
      <c r="AD143" s="83"/>
      <c r="AE143" s="83"/>
      <c r="AF143" s="83"/>
      <c r="AG143" s="93" t="s">
        <v>399</v>
      </c>
      <c r="AH143" s="66" t="s">
        <v>445</v>
      </c>
      <c r="AI143" s="66" t="s">
        <v>85</v>
      </c>
      <c r="AJ143" s="94">
        <v>1</v>
      </c>
    </row>
    <row r="144" spans="1:36" x14ac:dyDescent="0.25">
      <c r="A144" s="70"/>
      <c r="B144" s="70"/>
      <c r="C144" s="70"/>
      <c r="D144" s="70"/>
      <c r="E144" s="70"/>
      <c r="F144" s="70"/>
      <c r="J144" s="65" t="s">
        <v>457</v>
      </c>
      <c r="K144" s="65" t="s">
        <v>171</v>
      </c>
      <c r="L144" s="65" t="s">
        <v>135</v>
      </c>
      <c r="M144" s="65" t="s">
        <v>136</v>
      </c>
      <c r="N144" s="65" t="s">
        <v>436</v>
      </c>
      <c r="O144" s="65" t="s">
        <v>262</v>
      </c>
      <c r="P144" s="65"/>
      <c r="Q144" s="65"/>
      <c r="R144" s="65">
        <f>Tabela393[[#This Row],[Atividade]]*Tabela393[[#This Row],[Quant.]]</f>
        <v>0</v>
      </c>
      <c r="S144" s="84"/>
      <c r="T144" s="70"/>
      <c r="X144" s="70"/>
      <c r="AB144" s="83"/>
      <c r="AC144" s="83"/>
      <c r="AD144" s="83"/>
      <c r="AE144" s="83"/>
      <c r="AF144" s="83"/>
      <c r="AG144" s="93" t="s">
        <v>399</v>
      </c>
      <c r="AH144" s="66" t="s">
        <v>445</v>
      </c>
      <c r="AI144" s="66" t="s">
        <v>84</v>
      </c>
      <c r="AJ144" s="94">
        <v>1</v>
      </c>
    </row>
    <row r="145" spans="1:36" x14ac:dyDescent="0.25">
      <c r="A145" s="70"/>
      <c r="B145" s="70"/>
      <c r="C145" s="70"/>
      <c r="D145" s="70"/>
      <c r="E145" s="70"/>
      <c r="F145" s="70"/>
      <c r="J145" s="65" t="s">
        <v>458</v>
      </c>
      <c r="K145" s="65" t="s">
        <v>171</v>
      </c>
      <c r="L145" s="65" t="s">
        <v>135</v>
      </c>
      <c r="M145" s="65" t="s">
        <v>136</v>
      </c>
      <c r="N145" s="65" t="s">
        <v>436</v>
      </c>
      <c r="O145" s="65" t="s">
        <v>264</v>
      </c>
      <c r="P145" s="65"/>
      <c r="Q145" s="65"/>
      <c r="R145" s="65">
        <f>Tabela393[[#This Row],[Atividade]]*Tabela393[[#This Row],[Quant.]]</f>
        <v>0</v>
      </c>
      <c r="S145" s="84"/>
      <c r="T145" s="70"/>
      <c r="X145" s="70"/>
      <c r="AB145" s="83"/>
      <c r="AC145" s="83"/>
      <c r="AD145" s="83"/>
      <c r="AE145" s="83"/>
      <c r="AF145" s="83"/>
      <c r="AG145" s="93" t="s">
        <v>399</v>
      </c>
      <c r="AH145" s="66" t="s">
        <v>445</v>
      </c>
      <c r="AI145" s="66" t="s">
        <v>83</v>
      </c>
      <c r="AJ145" s="94">
        <v>1</v>
      </c>
    </row>
    <row r="146" spans="1:36" x14ac:dyDescent="0.25">
      <c r="A146" s="70"/>
      <c r="B146" s="70"/>
      <c r="C146" s="70"/>
      <c r="D146" s="70"/>
      <c r="E146" s="70"/>
      <c r="F146" s="70"/>
      <c r="J146" s="65" t="s">
        <v>459</v>
      </c>
      <c r="K146" s="65" t="s">
        <v>171</v>
      </c>
      <c r="L146" s="65" t="s">
        <v>135</v>
      </c>
      <c r="M146" s="65" t="s">
        <v>136</v>
      </c>
      <c r="N146" s="65" t="s">
        <v>436</v>
      </c>
      <c r="O146" s="65" t="s">
        <v>266</v>
      </c>
      <c r="P146" s="65"/>
      <c r="Q146" s="65"/>
      <c r="R146" s="65">
        <f>Tabela393[[#This Row],[Atividade]]*Tabela393[[#This Row],[Quant.]]</f>
        <v>0</v>
      </c>
      <c r="S146" s="84"/>
      <c r="T146" s="70"/>
      <c r="X146" s="70"/>
      <c r="AB146" s="83"/>
      <c r="AC146" s="83"/>
      <c r="AD146" s="83"/>
      <c r="AE146" s="83"/>
      <c r="AF146" s="83"/>
      <c r="AG146" s="93" t="s">
        <v>399</v>
      </c>
      <c r="AH146" s="66" t="s">
        <v>445</v>
      </c>
      <c r="AI146" s="66" t="s">
        <v>82</v>
      </c>
      <c r="AJ146" s="94">
        <v>1</v>
      </c>
    </row>
    <row r="147" spans="1:36" x14ac:dyDescent="0.25">
      <c r="A147" s="70"/>
      <c r="B147" s="70"/>
      <c r="C147" s="70"/>
      <c r="D147" s="70"/>
      <c r="E147" s="70"/>
      <c r="F147" s="70"/>
      <c r="J147" s="65" t="s">
        <v>460</v>
      </c>
      <c r="K147" s="65" t="s">
        <v>171</v>
      </c>
      <c r="L147" s="65" t="s">
        <v>135</v>
      </c>
      <c r="M147" s="65" t="s">
        <v>136</v>
      </c>
      <c r="N147" s="65" t="s">
        <v>436</v>
      </c>
      <c r="O147" s="65" t="s">
        <v>268</v>
      </c>
      <c r="P147" s="65"/>
      <c r="Q147" s="65"/>
      <c r="R147" s="65">
        <f>Tabela393[[#This Row],[Atividade]]*Tabela393[[#This Row],[Quant.]]</f>
        <v>0</v>
      </c>
      <c r="S147" s="84"/>
      <c r="T147" s="70"/>
      <c r="X147" s="70"/>
      <c r="AB147" s="83"/>
      <c r="AC147" s="83"/>
      <c r="AD147" s="83"/>
      <c r="AE147" s="83"/>
      <c r="AF147" s="83"/>
      <c r="AG147" s="93" t="s">
        <v>399</v>
      </c>
      <c r="AH147" s="66" t="s">
        <v>445</v>
      </c>
      <c r="AI147" s="66" t="s">
        <v>79</v>
      </c>
      <c r="AJ147" s="94">
        <v>1</v>
      </c>
    </row>
    <row r="148" spans="1:36" x14ac:dyDescent="0.25">
      <c r="A148" s="70"/>
      <c r="B148" s="70"/>
      <c r="C148" s="70"/>
      <c r="D148" s="70"/>
      <c r="E148" s="70"/>
      <c r="F148" s="70"/>
      <c r="J148" s="65" t="s">
        <v>461</v>
      </c>
      <c r="K148" s="65" t="s">
        <v>134</v>
      </c>
      <c r="L148" s="65" t="s">
        <v>462</v>
      </c>
      <c r="M148" s="65" t="s">
        <v>293</v>
      </c>
      <c r="N148" s="66" t="s">
        <v>462</v>
      </c>
      <c r="O148" s="65" t="s">
        <v>138</v>
      </c>
      <c r="P148" s="65">
        <v>1</v>
      </c>
      <c r="Q148" s="65">
        <v>5</v>
      </c>
      <c r="R148" s="65">
        <f>Tabela393[[#This Row],[Atividade]]*Tabela393[[#This Row],[Quant.]]</f>
        <v>5</v>
      </c>
      <c r="S148" s="84"/>
      <c r="T148" s="70"/>
      <c r="X148" s="70"/>
      <c r="AB148" s="83"/>
      <c r="AC148" s="83"/>
      <c r="AD148" s="83"/>
      <c r="AE148" s="83"/>
      <c r="AF148" s="83"/>
      <c r="AG148" s="93" t="s">
        <v>463</v>
      </c>
      <c r="AH148" s="66" t="s">
        <v>464</v>
      </c>
      <c r="AI148" s="66" t="s">
        <v>465</v>
      </c>
      <c r="AJ148" s="94">
        <v>1</v>
      </c>
    </row>
    <row r="149" spans="1:36" x14ac:dyDescent="0.25">
      <c r="A149" s="70"/>
      <c r="B149" s="70"/>
      <c r="C149" s="70"/>
      <c r="D149" s="70"/>
      <c r="E149" s="70"/>
      <c r="F149" s="70"/>
      <c r="J149" s="65" t="s">
        <v>466</v>
      </c>
      <c r="K149" s="65" t="s">
        <v>134</v>
      </c>
      <c r="L149" s="65" t="s">
        <v>462</v>
      </c>
      <c r="M149" s="65" t="s">
        <v>293</v>
      </c>
      <c r="N149" s="66" t="s">
        <v>462</v>
      </c>
      <c r="O149" s="65" t="s">
        <v>341</v>
      </c>
      <c r="P149" s="65">
        <v>2</v>
      </c>
      <c r="Q149" s="65">
        <v>5</v>
      </c>
      <c r="R149" s="65">
        <f>Tabela393[[#This Row],[Atividade]]*Tabela393[[#This Row],[Quant.]]</f>
        <v>10</v>
      </c>
      <c r="S149" s="84" t="s">
        <v>339</v>
      </c>
      <c r="T149" s="70"/>
      <c r="X149" s="70"/>
      <c r="AB149" s="83"/>
      <c r="AC149" s="83"/>
      <c r="AD149" s="83"/>
      <c r="AE149" s="83"/>
      <c r="AF149" s="83"/>
      <c r="AG149" s="93" t="s">
        <v>463</v>
      </c>
      <c r="AH149" s="66" t="s">
        <v>70</v>
      </c>
      <c r="AI149" s="66" t="s">
        <v>208</v>
      </c>
      <c r="AJ149" s="94">
        <v>2</v>
      </c>
    </row>
    <row r="150" spans="1:36" x14ac:dyDescent="0.25">
      <c r="A150" s="70"/>
      <c r="B150" s="70"/>
      <c r="C150" s="70"/>
      <c r="D150" s="70"/>
      <c r="E150" s="70"/>
      <c r="F150" s="70"/>
      <c r="J150" s="65" t="s">
        <v>467</v>
      </c>
      <c r="K150" s="65" t="s">
        <v>134</v>
      </c>
      <c r="L150" s="65" t="s">
        <v>462</v>
      </c>
      <c r="M150" s="65" t="s">
        <v>293</v>
      </c>
      <c r="N150" s="66" t="s">
        <v>462</v>
      </c>
      <c r="O150" s="65" t="s">
        <v>345</v>
      </c>
      <c r="P150" s="65">
        <v>4</v>
      </c>
      <c r="Q150" s="65">
        <v>5</v>
      </c>
      <c r="R150" s="65">
        <f>Tabela393[[#This Row],[Atividade]]*Tabela393[[#This Row],[Quant.]]</f>
        <v>20</v>
      </c>
      <c r="S150" s="84"/>
      <c r="T150" s="70"/>
      <c r="X150" s="70"/>
      <c r="AB150" s="83"/>
      <c r="AC150" s="83"/>
      <c r="AD150" s="83"/>
      <c r="AE150" s="83"/>
      <c r="AF150" s="83"/>
      <c r="AG150" s="93" t="s">
        <v>463</v>
      </c>
      <c r="AH150" s="66" t="s">
        <v>70</v>
      </c>
      <c r="AI150" s="66" t="s">
        <v>468</v>
      </c>
      <c r="AJ150" s="94">
        <v>1</v>
      </c>
    </row>
    <row r="151" spans="1:36" x14ac:dyDescent="0.25">
      <c r="A151" s="70"/>
      <c r="B151" s="70"/>
      <c r="C151" s="70"/>
      <c r="D151" s="70"/>
      <c r="E151" s="70"/>
      <c r="F151" s="70"/>
      <c r="J151" s="65" t="s">
        <v>469</v>
      </c>
      <c r="K151" s="65" t="s">
        <v>134</v>
      </c>
      <c r="L151" s="65" t="s">
        <v>462</v>
      </c>
      <c r="M151" s="65" t="s">
        <v>293</v>
      </c>
      <c r="N151" s="66" t="s">
        <v>462</v>
      </c>
      <c r="O151" s="65" t="s">
        <v>470</v>
      </c>
      <c r="P151" s="65">
        <v>3</v>
      </c>
      <c r="Q151" s="65">
        <v>5</v>
      </c>
      <c r="R151" s="65">
        <f>Tabela393[[#This Row],[Atividade]]*Tabela393[[#This Row],[Quant.]]</f>
        <v>15</v>
      </c>
      <c r="S151" s="84" t="s">
        <v>339</v>
      </c>
      <c r="T151" s="70"/>
      <c r="X151" s="70"/>
      <c r="AB151" s="83"/>
      <c r="AC151" s="83"/>
      <c r="AD151" s="83"/>
      <c r="AE151" s="83"/>
      <c r="AF151" s="83"/>
      <c r="AG151" s="93" t="s">
        <v>463</v>
      </c>
      <c r="AH151" s="66" t="s">
        <v>70</v>
      </c>
      <c r="AI151" s="66" t="s">
        <v>471</v>
      </c>
      <c r="AJ151" s="94">
        <v>1</v>
      </c>
    </row>
    <row r="152" spans="1:36" x14ac:dyDescent="0.25">
      <c r="A152" s="70"/>
      <c r="B152" s="70"/>
      <c r="C152" s="70"/>
      <c r="D152" s="70"/>
      <c r="E152" s="70"/>
      <c r="F152" s="70"/>
      <c r="J152" s="65" t="s">
        <v>472</v>
      </c>
      <c r="K152" s="65" t="s">
        <v>134</v>
      </c>
      <c r="L152" s="65" t="s">
        <v>462</v>
      </c>
      <c r="M152" s="65" t="s">
        <v>293</v>
      </c>
      <c r="N152" s="66" t="s">
        <v>462</v>
      </c>
      <c r="O152" s="65" t="s">
        <v>347</v>
      </c>
      <c r="P152" s="65">
        <v>6</v>
      </c>
      <c r="Q152" s="65">
        <v>5</v>
      </c>
      <c r="R152" s="65">
        <f>Tabela393[[#This Row],[Atividade]]*Tabela393[[#This Row],[Quant.]]</f>
        <v>30</v>
      </c>
      <c r="S152" s="84"/>
      <c r="T152" s="70"/>
      <c r="X152" s="70"/>
      <c r="AB152" s="83"/>
      <c r="AC152" s="83"/>
      <c r="AD152" s="83"/>
      <c r="AE152" s="83"/>
      <c r="AF152" s="83"/>
      <c r="AG152" s="93" t="s">
        <v>463</v>
      </c>
      <c r="AH152" s="66" t="s">
        <v>70</v>
      </c>
      <c r="AI152" s="66" t="s">
        <v>473</v>
      </c>
      <c r="AJ152" s="94">
        <v>1</v>
      </c>
    </row>
    <row r="153" spans="1:36" x14ac:dyDescent="0.25">
      <c r="A153" s="70"/>
      <c r="B153" s="70"/>
      <c r="C153" s="70"/>
      <c r="D153" s="70"/>
      <c r="E153" s="70"/>
      <c r="F153" s="70"/>
      <c r="J153" s="65" t="s">
        <v>474</v>
      </c>
      <c r="K153" s="65" t="s">
        <v>134</v>
      </c>
      <c r="L153" s="65" t="s">
        <v>462</v>
      </c>
      <c r="M153" s="65" t="s">
        <v>293</v>
      </c>
      <c r="N153" s="66" t="s">
        <v>462</v>
      </c>
      <c r="O153" s="65" t="s">
        <v>188</v>
      </c>
      <c r="P153" s="65">
        <v>1</v>
      </c>
      <c r="Q153" s="65">
        <v>5</v>
      </c>
      <c r="R153" s="65">
        <f>Tabela393[[#This Row],[Atividade]]*Tabela393[[#This Row],[Quant.]]</f>
        <v>5</v>
      </c>
      <c r="S153" s="84"/>
      <c r="T153" s="70"/>
      <c r="X153" s="70"/>
      <c r="AB153" s="83"/>
      <c r="AC153" s="83"/>
      <c r="AD153" s="83"/>
      <c r="AE153" s="83"/>
      <c r="AF153" s="83"/>
      <c r="AG153" s="93" t="s">
        <v>463</v>
      </c>
      <c r="AH153" s="66" t="s">
        <v>77</v>
      </c>
      <c r="AI153" s="66" t="s">
        <v>475</v>
      </c>
      <c r="AJ153" s="94">
        <v>1</v>
      </c>
    </row>
    <row r="154" spans="1:36" x14ac:dyDescent="0.25">
      <c r="A154" s="70"/>
      <c r="B154" s="70"/>
      <c r="C154" s="70"/>
      <c r="D154" s="70"/>
      <c r="E154" s="70"/>
      <c r="F154" s="70"/>
      <c r="J154" s="65" t="s">
        <v>476</v>
      </c>
      <c r="K154" s="65" t="s">
        <v>134</v>
      </c>
      <c r="L154" s="65" t="s">
        <v>462</v>
      </c>
      <c r="M154" s="65" t="s">
        <v>293</v>
      </c>
      <c r="N154" s="66" t="s">
        <v>462</v>
      </c>
      <c r="O154" s="65" t="s">
        <v>408</v>
      </c>
      <c r="P154" s="65">
        <v>9</v>
      </c>
      <c r="Q154" s="65">
        <v>5</v>
      </c>
      <c r="R154" s="65">
        <f>Tabela393[[#This Row],[Atividade]]*Tabela393[[#This Row],[Quant.]]</f>
        <v>45</v>
      </c>
      <c r="S154" s="84"/>
      <c r="T154" s="70"/>
      <c r="X154" s="70"/>
      <c r="AB154" s="83"/>
      <c r="AC154" s="83"/>
      <c r="AD154" s="83"/>
      <c r="AE154" s="83"/>
      <c r="AF154" s="83"/>
      <c r="AG154" s="93" t="s">
        <v>477</v>
      </c>
      <c r="AH154" s="66" t="s">
        <v>478</v>
      </c>
      <c r="AI154" s="66" t="s">
        <v>479</v>
      </c>
      <c r="AJ154" s="94">
        <v>1</v>
      </c>
    </row>
    <row r="155" spans="1:36" x14ac:dyDescent="0.25">
      <c r="A155" s="70"/>
      <c r="B155" s="70"/>
      <c r="C155" s="70"/>
      <c r="D155" s="70"/>
      <c r="E155" s="70"/>
      <c r="F155" s="70"/>
      <c r="J155" s="65" t="s">
        <v>480</v>
      </c>
      <c r="K155" s="65" t="s">
        <v>134</v>
      </c>
      <c r="L155" s="65" t="s">
        <v>462</v>
      </c>
      <c r="M155" s="65" t="s">
        <v>293</v>
      </c>
      <c r="N155" s="66" t="s">
        <v>462</v>
      </c>
      <c r="O155" s="65" t="s">
        <v>481</v>
      </c>
      <c r="P155" s="65">
        <v>2</v>
      </c>
      <c r="Q155" s="65">
        <v>5</v>
      </c>
      <c r="R155" s="65">
        <f>Tabela393[[#This Row],[Atividade]]*Tabela393[[#This Row],[Quant.]]</f>
        <v>10</v>
      </c>
      <c r="S155" s="84" t="s">
        <v>339</v>
      </c>
      <c r="T155" s="70"/>
      <c r="X155" s="70"/>
      <c r="AB155" s="83"/>
      <c r="AC155" s="83"/>
      <c r="AD155" s="83"/>
      <c r="AE155" s="83"/>
      <c r="AF155" s="83"/>
      <c r="AG155" s="100" t="s">
        <v>477</v>
      </c>
      <c r="AH155" s="101" t="s">
        <v>74</v>
      </c>
      <c r="AI155" s="101" t="s">
        <v>78</v>
      </c>
      <c r="AJ155" s="102">
        <v>1</v>
      </c>
    </row>
    <row r="156" spans="1:36" x14ac:dyDescent="0.25">
      <c r="A156" s="70"/>
      <c r="B156" s="70"/>
      <c r="C156" s="70"/>
      <c r="D156" s="70"/>
      <c r="E156" s="70"/>
      <c r="F156" s="70"/>
      <c r="J156" s="65" t="s">
        <v>482</v>
      </c>
      <c r="K156" s="65" t="s">
        <v>134</v>
      </c>
      <c r="L156" s="65" t="s">
        <v>462</v>
      </c>
      <c r="M156" s="65" t="s">
        <v>293</v>
      </c>
      <c r="N156" s="66" t="s">
        <v>462</v>
      </c>
      <c r="O156" s="65" t="s">
        <v>204</v>
      </c>
      <c r="P156" s="65">
        <v>1</v>
      </c>
      <c r="Q156" s="65">
        <v>5</v>
      </c>
      <c r="R156" s="65">
        <f>Tabela393[[#This Row],[Atividade]]*Tabela393[[#This Row],[Quant.]]</f>
        <v>5</v>
      </c>
      <c r="S156" s="84" t="s">
        <v>339</v>
      </c>
      <c r="T156" s="70"/>
      <c r="X156" s="70"/>
      <c r="AB156" s="83"/>
      <c r="AC156" s="83"/>
      <c r="AD156" s="83"/>
      <c r="AE156" s="83"/>
      <c r="AF156" s="83"/>
      <c r="AG156" s="93" t="s">
        <v>477</v>
      </c>
      <c r="AH156" s="66" t="s">
        <v>74</v>
      </c>
      <c r="AI156" s="66" t="s">
        <v>98</v>
      </c>
      <c r="AJ156" s="94">
        <v>1</v>
      </c>
    </row>
    <row r="157" spans="1:36" x14ac:dyDescent="0.25">
      <c r="A157" s="70"/>
      <c r="B157" s="70"/>
      <c r="C157" s="70"/>
      <c r="D157" s="70"/>
      <c r="E157" s="70"/>
      <c r="F157" s="70"/>
      <c r="J157" s="65" t="s">
        <v>483</v>
      </c>
      <c r="K157" s="65" t="s">
        <v>134</v>
      </c>
      <c r="L157" s="65" t="s">
        <v>462</v>
      </c>
      <c r="M157" s="65" t="s">
        <v>293</v>
      </c>
      <c r="N157" s="66" t="s">
        <v>462</v>
      </c>
      <c r="O157" s="65" t="s">
        <v>484</v>
      </c>
      <c r="P157" s="65">
        <v>11</v>
      </c>
      <c r="Q157" s="65">
        <v>5</v>
      </c>
      <c r="R157" s="65">
        <f>Tabela393[[#This Row],[Atividade]]*Tabela393[[#This Row],[Quant.]]</f>
        <v>55</v>
      </c>
      <c r="S157" s="84" t="s">
        <v>339</v>
      </c>
      <c r="T157" s="70"/>
      <c r="X157" s="70"/>
      <c r="AB157" s="83"/>
      <c r="AC157" s="83"/>
      <c r="AD157" s="83"/>
      <c r="AE157" s="83"/>
      <c r="AF157" s="83"/>
      <c r="AG157" s="93" t="s">
        <v>477</v>
      </c>
      <c r="AH157" s="66" t="s">
        <v>72</v>
      </c>
      <c r="AI157" s="66" t="s">
        <v>475</v>
      </c>
      <c r="AJ157" s="94">
        <v>1</v>
      </c>
    </row>
    <row r="158" spans="1:36" x14ac:dyDescent="0.25">
      <c r="A158" s="70"/>
      <c r="B158" s="70"/>
      <c r="C158" s="70"/>
      <c r="D158" s="70"/>
      <c r="E158" s="70"/>
      <c r="F158" s="70"/>
      <c r="J158" s="65" t="s">
        <v>485</v>
      </c>
      <c r="K158" s="65" t="s">
        <v>134</v>
      </c>
      <c r="L158" s="65" t="s">
        <v>462</v>
      </c>
      <c r="M158" s="65" t="s">
        <v>293</v>
      </c>
      <c r="N158" s="66" t="s">
        <v>462</v>
      </c>
      <c r="O158" s="65" t="s">
        <v>215</v>
      </c>
      <c r="P158" s="65">
        <v>1</v>
      </c>
      <c r="Q158" s="65">
        <v>5</v>
      </c>
      <c r="R158" s="65">
        <f>Tabela393[[#This Row],[Atividade]]*Tabela393[[#This Row],[Quant.]]</f>
        <v>5</v>
      </c>
      <c r="S158" s="84" t="s">
        <v>339</v>
      </c>
      <c r="T158" s="70"/>
      <c r="X158" s="70"/>
      <c r="AB158" s="83"/>
      <c r="AC158" s="83"/>
      <c r="AD158" s="83"/>
      <c r="AE158" s="83"/>
      <c r="AF158" s="83"/>
      <c r="AG158" s="93" t="s">
        <v>477</v>
      </c>
      <c r="AH158" s="66" t="s">
        <v>72</v>
      </c>
      <c r="AI158" s="66" t="s">
        <v>486</v>
      </c>
      <c r="AJ158" s="94">
        <v>1</v>
      </c>
    </row>
    <row r="159" spans="1:36" x14ac:dyDescent="0.25">
      <c r="A159" s="70"/>
      <c r="B159" s="70"/>
      <c r="C159" s="70"/>
      <c r="D159" s="70"/>
      <c r="E159" s="70"/>
      <c r="F159" s="70"/>
      <c r="J159" s="65" t="s">
        <v>487</v>
      </c>
      <c r="K159" s="65" t="s">
        <v>171</v>
      </c>
      <c r="L159" s="65" t="s">
        <v>462</v>
      </c>
      <c r="M159" s="65" t="s">
        <v>293</v>
      </c>
      <c r="N159" s="66" t="s">
        <v>462</v>
      </c>
      <c r="O159" s="65" t="s">
        <v>488</v>
      </c>
      <c r="P159" s="65">
        <v>8</v>
      </c>
      <c r="Q159" s="65">
        <v>8</v>
      </c>
      <c r="R159" s="65">
        <f>Tabela393[[#This Row],[Atividade]]*Tabela393[[#This Row],[Quant.]]</f>
        <v>64</v>
      </c>
      <c r="S159" s="84" t="s">
        <v>489</v>
      </c>
      <c r="T159" s="70"/>
      <c r="X159" s="70"/>
      <c r="AB159" s="83"/>
      <c r="AC159" s="83"/>
      <c r="AD159" s="83"/>
      <c r="AE159" s="83"/>
      <c r="AF159" s="83"/>
      <c r="AG159" s="100" t="s">
        <v>477</v>
      </c>
      <c r="AH159" s="101" t="s">
        <v>490</v>
      </c>
      <c r="AI159" s="101" t="s">
        <v>491</v>
      </c>
      <c r="AJ159" s="102">
        <v>1</v>
      </c>
    </row>
    <row r="160" spans="1:36" x14ac:dyDescent="0.25">
      <c r="A160" s="70"/>
      <c r="B160" s="70"/>
      <c r="C160" s="70"/>
      <c r="D160" s="70"/>
      <c r="E160" s="70"/>
      <c r="F160" s="70"/>
      <c r="J160" s="65" t="s">
        <v>492</v>
      </c>
      <c r="K160" s="65" t="s">
        <v>171</v>
      </c>
      <c r="L160" s="65" t="s">
        <v>462</v>
      </c>
      <c r="M160" s="65" t="s">
        <v>293</v>
      </c>
      <c r="N160" s="66" t="s">
        <v>462</v>
      </c>
      <c r="O160" s="65" t="s">
        <v>223</v>
      </c>
      <c r="P160" s="65">
        <v>1</v>
      </c>
      <c r="Q160" s="65">
        <v>8</v>
      </c>
      <c r="R160" s="65">
        <f>Tabela393[[#This Row],[Atividade]]*Tabela393[[#This Row],[Quant.]]</f>
        <v>8</v>
      </c>
      <c r="S160" s="84" t="s">
        <v>493</v>
      </c>
      <c r="T160" s="70"/>
      <c r="X160" s="70"/>
      <c r="AB160" s="83"/>
      <c r="AC160" s="83"/>
      <c r="AD160" s="83"/>
      <c r="AE160" s="83"/>
      <c r="AF160" s="83"/>
      <c r="AG160" s="100" t="s">
        <v>477</v>
      </c>
      <c r="AH160" s="101" t="s">
        <v>494</v>
      </c>
      <c r="AI160" s="101" t="s">
        <v>495</v>
      </c>
      <c r="AJ160" s="102">
        <v>1</v>
      </c>
    </row>
    <row r="161" spans="1:36" x14ac:dyDescent="0.25">
      <c r="A161" s="70"/>
      <c r="B161" s="70"/>
      <c r="C161" s="70"/>
      <c r="D161" s="70"/>
      <c r="E161" s="70"/>
      <c r="F161" s="70"/>
      <c r="J161" s="65" t="s">
        <v>496</v>
      </c>
      <c r="K161" s="65" t="s">
        <v>171</v>
      </c>
      <c r="L161" s="65" t="s">
        <v>462</v>
      </c>
      <c r="M161" s="65" t="s">
        <v>293</v>
      </c>
      <c r="N161" s="66" t="s">
        <v>462</v>
      </c>
      <c r="O161" s="65" t="s">
        <v>497</v>
      </c>
      <c r="P161" s="65">
        <v>7</v>
      </c>
      <c r="Q161" s="65">
        <v>8</v>
      </c>
      <c r="R161" s="65">
        <f>Tabela393[[#This Row],[Atividade]]*Tabela393[[#This Row],[Quant.]]</f>
        <v>56</v>
      </c>
      <c r="S161" s="84" t="s">
        <v>493</v>
      </c>
      <c r="T161" s="70"/>
      <c r="X161" s="70"/>
      <c r="AB161" s="83"/>
      <c r="AC161" s="83"/>
      <c r="AD161" s="83"/>
      <c r="AE161" s="83"/>
      <c r="AF161" s="83"/>
      <c r="AG161" s="100" t="s">
        <v>477</v>
      </c>
      <c r="AH161" s="101" t="s">
        <v>72</v>
      </c>
      <c r="AI161" s="101" t="s">
        <v>208</v>
      </c>
      <c r="AJ161" s="102">
        <v>2</v>
      </c>
    </row>
    <row r="162" spans="1:36" x14ac:dyDescent="0.25">
      <c r="A162" s="70"/>
      <c r="B162" s="70"/>
      <c r="C162" s="70"/>
      <c r="D162" s="70"/>
      <c r="E162" s="70"/>
      <c r="F162" s="70"/>
      <c r="J162" s="65" t="s">
        <v>498</v>
      </c>
      <c r="K162" s="65" t="s">
        <v>171</v>
      </c>
      <c r="L162" s="65" t="s">
        <v>462</v>
      </c>
      <c r="M162" s="65" t="s">
        <v>293</v>
      </c>
      <c r="N162" s="66" t="s">
        <v>462</v>
      </c>
      <c r="O162" s="65" t="s">
        <v>230</v>
      </c>
      <c r="P162" s="65">
        <v>1</v>
      </c>
      <c r="Q162" s="65">
        <v>8</v>
      </c>
      <c r="R162" s="65">
        <f>Tabela393[[#This Row],[Atividade]]*Tabela393[[#This Row],[Quant.]]</f>
        <v>8</v>
      </c>
      <c r="S162" s="84" t="s">
        <v>499</v>
      </c>
      <c r="T162" s="70"/>
      <c r="X162" s="70"/>
      <c r="AB162" s="83"/>
      <c r="AC162" s="83"/>
      <c r="AD162" s="83"/>
      <c r="AE162" s="83"/>
      <c r="AF162" s="83"/>
      <c r="AG162" s="93" t="s">
        <v>477</v>
      </c>
      <c r="AH162" s="66" t="s">
        <v>74</v>
      </c>
      <c r="AI162" s="66" t="s">
        <v>100</v>
      </c>
      <c r="AJ162" s="94">
        <v>1</v>
      </c>
    </row>
    <row r="163" spans="1:36" x14ac:dyDescent="0.25">
      <c r="A163" s="70"/>
      <c r="B163" s="70"/>
      <c r="C163" s="70"/>
      <c r="D163" s="70"/>
      <c r="E163" s="70"/>
      <c r="F163" s="70"/>
      <c r="J163" s="65" t="s">
        <v>500</v>
      </c>
      <c r="K163" s="65" t="s">
        <v>171</v>
      </c>
      <c r="L163" s="65" t="s">
        <v>462</v>
      </c>
      <c r="M163" s="65" t="s">
        <v>293</v>
      </c>
      <c r="N163" s="66" t="s">
        <v>462</v>
      </c>
      <c r="O163" s="65" t="s">
        <v>501</v>
      </c>
      <c r="P163" s="65">
        <v>5</v>
      </c>
      <c r="Q163" s="65">
        <v>8</v>
      </c>
      <c r="R163" s="65">
        <f>Tabela393[[#This Row],[Atividade]]*Tabela393[[#This Row],[Quant.]]</f>
        <v>40</v>
      </c>
      <c r="S163" s="84" t="s">
        <v>502</v>
      </c>
      <c r="T163" s="70"/>
      <c r="X163" s="70"/>
      <c r="AB163" s="83"/>
      <c r="AC163" s="83"/>
      <c r="AD163" s="83"/>
      <c r="AE163" s="83"/>
      <c r="AF163" s="83"/>
      <c r="AG163" s="93" t="s">
        <v>463</v>
      </c>
      <c r="AH163" s="66" t="s">
        <v>35</v>
      </c>
      <c r="AI163" s="66" t="s">
        <v>78</v>
      </c>
      <c r="AJ163" s="94">
        <v>1</v>
      </c>
    </row>
    <row r="164" spans="1:36" x14ac:dyDescent="0.25">
      <c r="A164" s="70"/>
      <c r="B164" s="70"/>
      <c r="C164" s="70"/>
      <c r="D164" s="70"/>
      <c r="E164" s="70"/>
      <c r="F164" s="70"/>
      <c r="J164" s="65" t="s">
        <v>503</v>
      </c>
      <c r="K164" s="65" t="s">
        <v>171</v>
      </c>
      <c r="L164" s="65" t="s">
        <v>462</v>
      </c>
      <c r="M164" s="65" t="s">
        <v>293</v>
      </c>
      <c r="N164" s="66" t="s">
        <v>462</v>
      </c>
      <c r="O164" s="65" t="s">
        <v>504</v>
      </c>
      <c r="P164" s="65">
        <v>3</v>
      </c>
      <c r="Q164" s="65">
        <v>8</v>
      </c>
      <c r="R164" s="65">
        <f>Tabela393[[#This Row],[Atividade]]*Tabela393[[#This Row],[Quant.]]</f>
        <v>24</v>
      </c>
      <c r="S164" s="84" t="s">
        <v>499</v>
      </c>
      <c r="T164" s="70"/>
      <c r="X164" s="70"/>
      <c r="AB164" s="83"/>
      <c r="AC164" s="83"/>
      <c r="AD164" s="83"/>
      <c r="AE164" s="83"/>
      <c r="AF164" s="83"/>
      <c r="AG164" s="93" t="s">
        <v>463</v>
      </c>
      <c r="AH164" s="66" t="s">
        <v>35</v>
      </c>
      <c r="AI164" s="66" t="s">
        <v>102</v>
      </c>
      <c r="AJ164" s="94">
        <v>1</v>
      </c>
    </row>
    <row r="165" spans="1:36" x14ac:dyDescent="0.25">
      <c r="A165" s="70"/>
      <c r="B165" s="70"/>
      <c r="C165" s="70"/>
      <c r="D165" s="70"/>
      <c r="E165" s="70"/>
      <c r="F165" s="70"/>
      <c r="J165" s="65" t="s">
        <v>505</v>
      </c>
      <c r="K165" s="65" t="s">
        <v>171</v>
      </c>
      <c r="L165" s="65" t="s">
        <v>462</v>
      </c>
      <c r="M165" s="65" t="s">
        <v>293</v>
      </c>
      <c r="N165" s="66" t="s">
        <v>462</v>
      </c>
      <c r="O165" s="65" t="s">
        <v>334</v>
      </c>
      <c r="P165" s="65">
        <v>2</v>
      </c>
      <c r="Q165" s="65">
        <v>8</v>
      </c>
      <c r="R165" s="65">
        <f>Tabela393[[#This Row],[Atividade]]*Tabela393[[#This Row],[Quant.]]</f>
        <v>16</v>
      </c>
      <c r="S165" s="84" t="s">
        <v>506</v>
      </c>
      <c r="T165" s="70"/>
      <c r="X165" s="70"/>
      <c r="AB165" s="83"/>
      <c r="AC165" s="83"/>
      <c r="AD165" s="83"/>
      <c r="AE165" s="83"/>
      <c r="AF165" s="83"/>
      <c r="AG165" s="93" t="s">
        <v>463</v>
      </c>
      <c r="AH165" s="66" t="s">
        <v>35</v>
      </c>
      <c r="AI165" s="66" t="s">
        <v>507</v>
      </c>
      <c r="AJ165" s="94">
        <v>1</v>
      </c>
    </row>
    <row r="166" spans="1:36" x14ac:dyDescent="0.25">
      <c r="A166" s="70"/>
      <c r="B166" s="70"/>
      <c r="C166" s="70"/>
      <c r="D166" s="70"/>
      <c r="E166" s="70"/>
      <c r="F166" s="70"/>
      <c r="J166" s="65" t="s">
        <v>508</v>
      </c>
      <c r="K166" s="65" t="s">
        <v>171</v>
      </c>
      <c r="L166" s="65" t="s">
        <v>462</v>
      </c>
      <c r="M166" s="65" t="s">
        <v>293</v>
      </c>
      <c r="N166" s="66" t="s">
        <v>462</v>
      </c>
      <c r="O166" s="65" t="s">
        <v>266</v>
      </c>
      <c r="P166" s="65">
        <v>1</v>
      </c>
      <c r="Q166" s="65">
        <v>8</v>
      </c>
      <c r="R166" s="65">
        <f>Tabela393[[#This Row],[Atividade]]*Tabela393[[#This Row],[Quant.]]</f>
        <v>8</v>
      </c>
      <c r="S166" s="84" t="s">
        <v>509</v>
      </c>
      <c r="T166" s="70"/>
      <c r="X166" s="70"/>
      <c r="AB166" s="83"/>
      <c r="AC166" s="83"/>
      <c r="AD166" s="83"/>
      <c r="AE166" s="83"/>
      <c r="AF166" s="83"/>
      <c r="AG166" s="93" t="s">
        <v>463</v>
      </c>
      <c r="AH166" s="66" t="s">
        <v>35</v>
      </c>
      <c r="AI166" s="66" t="s">
        <v>510</v>
      </c>
      <c r="AJ166" s="94">
        <v>1</v>
      </c>
    </row>
    <row r="167" spans="1:36" x14ac:dyDescent="0.25">
      <c r="A167" s="70"/>
      <c r="B167" s="70"/>
      <c r="C167" s="70"/>
      <c r="D167" s="70"/>
      <c r="E167" s="70"/>
      <c r="F167" s="70"/>
      <c r="J167" s="65" t="s">
        <v>511</v>
      </c>
      <c r="K167" s="65" t="s">
        <v>134</v>
      </c>
      <c r="L167" s="65" t="s">
        <v>270</v>
      </c>
      <c r="M167" s="65" t="s">
        <v>136</v>
      </c>
      <c r="N167" s="65" t="s">
        <v>512</v>
      </c>
      <c r="O167" s="65" t="s">
        <v>138</v>
      </c>
      <c r="P167" s="65"/>
      <c r="Q167" s="65"/>
      <c r="R167" s="65">
        <f>Tabela393[[#This Row],[Atividade]]*Tabela393[[#This Row],[Quant.]]</f>
        <v>0</v>
      </c>
      <c r="S167" s="84"/>
      <c r="T167" s="70"/>
      <c r="X167" s="70"/>
      <c r="AB167" s="83"/>
      <c r="AC167" s="83"/>
      <c r="AD167" s="83"/>
      <c r="AE167" s="83"/>
      <c r="AF167" s="83"/>
      <c r="AG167" s="93" t="s">
        <v>463</v>
      </c>
      <c r="AH167" s="66" t="s">
        <v>35</v>
      </c>
      <c r="AI167" s="66" t="s">
        <v>105</v>
      </c>
      <c r="AJ167" s="94">
        <v>1</v>
      </c>
    </row>
    <row r="168" spans="1:36" x14ac:dyDescent="0.25">
      <c r="A168" s="70"/>
      <c r="B168" s="70"/>
      <c r="C168" s="70"/>
      <c r="D168" s="70"/>
      <c r="E168" s="70"/>
      <c r="F168" s="70"/>
      <c r="J168" s="65" t="s">
        <v>513</v>
      </c>
      <c r="K168" s="65" t="s">
        <v>134</v>
      </c>
      <c r="L168" s="65" t="s">
        <v>270</v>
      </c>
      <c r="M168" s="65" t="s">
        <v>136</v>
      </c>
      <c r="N168" s="65" t="s">
        <v>512</v>
      </c>
      <c r="O168" s="65" t="s">
        <v>152</v>
      </c>
      <c r="P168" s="65"/>
      <c r="Q168" s="65"/>
      <c r="R168" s="65">
        <f>Tabela393[[#This Row],[Atividade]]*Tabela393[[#This Row],[Quant.]]</f>
        <v>0</v>
      </c>
      <c r="S168" s="84"/>
      <c r="T168" s="70"/>
      <c r="X168" s="70"/>
      <c r="AB168" s="83"/>
      <c r="AC168" s="83"/>
      <c r="AD168" s="83"/>
      <c r="AE168" s="83"/>
      <c r="AF168" s="83"/>
      <c r="AG168" s="93" t="s">
        <v>463</v>
      </c>
      <c r="AH168" s="66" t="s">
        <v>35</v>
      </c>
      <c r="AI168" s="66" t="s">
        <v>98</v>
      </c>
      <c r="AJ168" s="94">
        <v>1</v>
      </c>
    </row>
    <row r="169" spans="1:36" x14ac:dyDescent="0.25">
      <c r="A169" s="70"/>
      <c r="B169" s="70"/>
      <c r="C169" s="70"/>
      <c r="D169" s="70"/>
      <c r="E169" s="70"/>
      <c r="F169" s="70"/>
      <c r="J169" s="65" t="s">
        <v>514</v>
      </c>
      <c r="K169" s="65" t="s">
        <v>134</v>
      </c>
      <c r="L169" s="65" t="s">
        <v>270</v>
      </c>
      <c r="M169" s="65" t="s">
        <v>136</v>
      </c>
      <c r="N169" s="65" t="s">
        <v>512</v>
      </c>
      <c r="O169" s="65" t="s">
        <v>161</v>
      </c>
      <c r="P169" s="65"/>
      <c r="Q169" s="65"/>
      <c r="R169" s="65">
        <f>Tabela393[[#This Row],[Atividade]]*Tabela393[[#This Row],[Quant.]]</f>
        <v>0</v>
      </c>
      <c r="S169" s="84"/>
      <c r="T169" s="70"/>
      <c r="X169" s="70"/>
      <c r="AB169" s="83"/>
      <c r="AC169" s="83"/>
      <c r="AD169" s="83"/>
      <c r="AE169" s="83"/>
      <c r="AF169" s="83"/>
      <c r="AG169" s="93" t="s">
        <v>463</v>
      </c>
      <c r="AH169" s="66" t="s">
        <v>35</v>
      </c>
      <c r="AI169" s="66" t="s">
        <v>101</v>
      </c>
      <c r="AJ169" s="94">
        <v>1</v>
      </c>
    </row>
    <row r="170" spans="1:36" x14ac:dyDescent="0.25">
      <c r="A170" s="70"/>
      <c r="B170" s="70"/>
      <c r="C170" s="70"/>
      <c r="D170" s="70"/>
      <c r="E170" s="70"/>
      <c r="F170" s="70"/>
      <c r="J170" s="65" t="s">
        <v>515</v>
      </c>
      <c r="K170" s="65" t="s">
        <v>134</v>
      </c>
      <c r="L170" s="65" t="s">
        <v>270</v>
      </c>
      <c r="M170" s="65" t="s">
        <v>136</v>
      </c>
      <c r="N170" s="65" t="s">
        <v>512</v>
      </c>
      <c r="O170" s="65" t="s">
        <v>172</v>
      </c>
      <c r="P170" s="65"/>
      <c r="Q170" s="65"/>
      <c r="R170" s="65">
        <f>Tabela393[[#This Row],[Atividade]]*Tabela393[[#This Row],[Quant.]]</f>
        <v>0</v>
      </c>
      <c r="S170" s="84"/>
      <c r="T170" s="70"/>
      <c r="X170" s="70"/>
      <c r="AB170" s="83"/>
      <c r="AC170" s="83"/>
      <c r="AD170" s="83"/>
      <c r="AE170" s="83"/>
      <c r="AF170" s="83"/>
      <c r="AG170" s="93" t="s">
        <v>516</v>
      </c>
      <c r="AH170" s="66" t="s">
        <v>517</v>
      </c>
      <c r="AI170" s="66" t="s">
        <v>518</v>
      </c>
      <c r="AJ170" s="94">
        <v>1</v>
      </c>
    </row>
    <row r="171" spans="1:36" x14ac:dyDescent="0.25">
      <c r="A171" s="70"/>
      <c r="B171" s="70"/>
      <c r="C171" s="70"/>
      <c r="D171" s="70"/>
      <c r="E171" s="70"/>
      <c r="F171" s="70"/>
      <c r="J171" s="65" t="s">
        <v>519</v>
      </c>
      <c r="K171" s="65" t="s">
        <v>134</v>
      </c>
      <c r="L171" s="65" t="s">
        <v>270</v>
      </c>
      <c r="M171" s="65" t="s">
        <v>136</v>
      </c>
      <c r="N171" s="65" t="s">
        <v>512</v>
      </c>
      <c r="O171" s="65" t="s">
        <v>180</v>
      </c>
      <c r="P171" s="65"/>
      <c r="Q171" s="65"/>
      <c r="R171" s="65">
        <f>Tabela393[[#This Row],[Atividade]]*Tabela393[[#This Row],[Quant.]]</f>
        <v>0</v>
      </c>
      <c r="S171" s="84"/>
      <c r="T171" s="70"/>
      <c r="X171" s="70"/>
      <c r="AB171" s="83"/>
      <c r="AC171" s="83"/>
      <c r="AD171" s="83"/>
      <c r="AE171" s="83"/>
      <c r="AF171" s="83"/>
      <c r="AG171" s="93" t="s">
        <v>516</v>
      </c>
      <c r="AH171" s="66" t="s">
        <v>520</v>
      </c>
      <c r="AI171" s="66" t="s">
        <v>81</v>
      </c>
      <c r="AJ171" s="94">
        <v>1</v>
      </c>
    </row>
    <row r="172" spans="1:36" x14ac:dyDescent="0.25">
      <c r="A172" s="70"/>
      <c r="B172" s="70"/>
      <c r="C172" s="70"/>
      <c r="D172" s="70"/>
      <c r="E172" s="70"/>
      <c r="F172" s="70"/>
      <c r="J172" s="65" t="s">
        <v>521</v>
      </c>
      <c r="K172" s="65" t="s">
        <v>134</v>
      </c>
      <c r="L172" s="65" t="s">
        <v>270</v>
      </c>
      <c r="M172" s="65" t="s">
        <v>136</v>
      </c>
      <c r="N172" s="65" t="s">
        <v>512</v>
      </c>
      <c r="O172" s="65" t="s">
        <v>188</v>
      </c>
      <c r="P172" s="65"/>
      <c r="Q172" s="65"/>
      <c r="R172" s="65">
        <f>Tabela393[[#This Row],[Atividade]]*Tabela393[[#This Row],[Quant.]]</f>
        <v>0</v>
      </c>
      <c r="S172" s="84"/>
      <c r="T172" s="70"/>
      <c r="X172" s="70"/>
      <c r="AB172" s="83"/>
      <c r="AC172" s="83"/>
      <c r="AD172" s="83"/>
      <c r="AE172" s="83"/>
      <c r="AF172" s="83"/>
      <c r="AG172" s="93" t="s">
        <v>516</v>
      </c>
      <c r="AH172" s="66" t="s">
        <v>520</v>
      </c>
      <c r="AI172" s="66" t="s">
        <v>79</v>
      </c>
      <c r="AJ172" s="94">
        <v>1</v>
      </c>
    </row>
    <row r="173" spans="1:36" x14ac:dyDescent="0.25">
      <c r="A173" s="70"/>
      <c r="B173" s="70"/>
      <c r="C173" s="70"/>
      <c r="D173" s="70"/>
      <c r="E173" s="70"/>
      <c r="F173" s="70"/>
      <c r="J173" s="65" t="s">
        <v>522</v>
      </c>
      <c r="K173" s="65" t="s">
        <v>134</v>
      </c>
      <c r="L173" s="65" t="s">
        <v>270</v>
      </c>
      <c r="M173" s="65" t="s">
        <v>136</v>
      </c>
      <c r="N173" s="65" t="s">
        <v>512</v>
      </c>
      <c r="O173" s="65" t="s">
        <v>195</v>
      </c>
      <c r="P173" s="65"/>
      <c r="Q173" s="65"/>
      <c r="R173" s="65">
        <f>Tabela393[[#This Row],[Atividade]]*Tabela393[[#This Row],[Quant.]]</f>
        <v>0</v>
      </c>
      <c r="S173" s="84"/>
      <c r="T173" s="70"/>
      <c r="X173" s="70"/>
      <c r="AB173" s="83"/>
      <c r="AC173" s="83"/>
      <c r="AD173" s="83"/>
      <c r="AE173" s="83"/>
      <c r="AF173" s="83"/>
      <c r="AG173" s="93" t="s">
        <v>516</v>
      </c>
      <c r="AH173" s="66" t="s">
        <v>520</v>
      </c>
      <c r="AI173" s="66" t="s">
        <v>82</v>
      </c>
      <c r="AJ173" s="94">
        <v>1</v>
      </c>
    </row>
    <row r="174" spans="1:36" x14ac:dyDescent="0.25">
      <c r="A174" s="70"/>
      <c r="B174" s="70"/>
      <c r="C174" s="70"/>
      <c r="D174" s="70"/>
      <c r="E174" s="70"/>
      <c r="F174" s="70"/>
      <c r="J174" s="65" t="s">
        <v>523</v>
      </c>
      <c r="K174" s="65" t="s">
        <v>134</v>
      </c>
      <c r="L174" s="65" t="s">
        <v>270</v>
      </c>
      <c r="M174" s="65" t="s">
        <v>136</v>
      </c>
      <c r="N174" s="65" t="s">
        <v>512</v>
      </c>
      <c r="O174" s="65" t="s">
        <v>200</v>
      </c>
      <c r="P174" s="65"/>
      <c r="Q174" s="65"/>
      <c r="R174" s="65">
        <f>Tabela393[[#This Row],[Atividade]]*Tabela393[[#This Row],[Quant.]]</f>
        <v>0</v>
      </c>
      <c r="S174" s="84"/>
      <c r="T174" s="70"/>
      <c r="X174" s="70"/>
      <c r="AB174" s="83"/>
      <c r="AC174" s="83"/>
      <c r="AD174" s="83"/>
      <c r="AE174" s="83"/>
      <c r="AF174" s="83"/>
      <c r="AG174" s="93" t="s">
        <v>516</v>
      </c>
      <c r="AH174" s="66" t="s">
        <v>520</v>
      </c>
      <c r="AI174" s="66" t="s">
        <v>83</v>
      </c>
      <c r="AJ174" s="94">
        <v>1</v>
      </c>
    </row>
    <row r="175" spans="1:36" x14ac:dyDescent="0.25">
      <c r="A175" s="70"/>
      <c r="B175" s="70"/>
      <c r="C175" s="70"/>
      <c r="D175" s="70"/>
      <c r="E175" s="70"/>
      <c r="F175" s="70"/>
      <c r="J175" s="65" t="s">
        <v>524</v>
      </c>
      <c r="K175" s="65" t="s">
        <v>134</v>
      </c>
      <c r="L175" s="65" t="s">
        <v>270</v>
      </c>
      <c r="M175" s="65" t="s">
        <v>136</v>
      </c>
      <c r="N175" s="65" t="s">
        <v>512</v>
      </c>
      <c r="O175" s="65" t="s">
        <v>204</v>
      </c>
      <c r="P175" s="65"/>
      <c r="Q175" s="65"/>
      <c r="R175" s="65">
        <f>Tabela393[[#This Row],[Atividade]]*Tabela393[[#This Row],[Quant.]]</f>
        <v>0</v>
      </c>
      <c r="S175" s="84"/>
      <c r="T175" s="70"/>
      <c r="X175" s="70"/>
      <c r="AB175" s="83"/>
      <c r="AC175" s="83"/>
      <c r="AD175" s="83"/>
      <c r="AE175" s="83"/>
      <c r="AF175" s="83"/>
      <c r="AG175" s="93" t="s">
        <v>516</v>
      </c>
      <c r="AH175" s="66" t="s">
        <v>520</v>
      </c>
      <c r="AI175" s="66" t="s">
        <v>84</v>
      </c>
      <c r="AJ175" s="94">
        <v>1</v>
      </c>
    </row>
    <row r="176" spans="1:36" x14ac:dyDescent="0.25">
      <c r="A176" s="70"/>
      <c r="B176" s="70"/>
      <c r="C176" s="70"/>
      <c r="D176" s="70"/>
      <c r="E176" s="70"/>
      <c r="F176" s="70"/>
      <c r="J176" s="65" t="s">
        <v>525</v>
      </c>
      <c r="K176" s="65" t="s">
        <v>134</v>
      </c>
      <c r="L176" s="65" t="s">
        <v>270</v>
      </c>
      <c r="M176" s="65" t="s">
        <v>136</v>
      </c>
      <c r="N176" s="65" t="s">
        <v>512</v>
      </c>
      <c r="O176" s="65" t="s">
        <v>210</v>
      </c>
      <c r="P176" s="65"/>
      <c r="Q176" s="65"/>
      <c r="R176" s="65">
        <f>Tabela393[[#This Row],[Atividade]]*Tabela393[[#This Row],[Quant.]]</f>
        <v>0</v>
      </c>
      <c r="S176" s="84"/>
      <c r="T176" s="70"/>
      <c r="X176" s="70"/>
      <c r="AB176" s="83"/>
      <c r="AC176" s="83"/>
      <c r="AD176" s="83"/>
      <c r="AE176" s="83"/>
      <c r="AF176" s="83"/>
      <c r="AG176" s="93" t="s">
        <v>516</v>
      </c>
      <c r="AH176" s="66" t="s">
        <v>520</v>
      </c>
      <c r="AI176" s="66" t="s">
        <v>85</v>
      </c>
      <c r="AJ176" s="94">
        <v>1</v>
      </c>
    </row>
    <row r="177" spans="1:36" x14ac:dyDescent="0.25">
      <c r="A177" s="70"/>
      <c r="B177" s="70"/>
      <c r="C177" s="70"/>
      <c r="D177" s="70"/>
      <c r="E177" s="70"/>
      <c r="F177" s="70"/>
      <c r="J177" s="65" t="s">
        <v>526</v>
      </c>
      <c r="K177" s="65" t="s">
        <v>171</v>
      </c>
      <c r="L177" s="65" t="s">
        <v>270</v>
      </c>
      <c r="M177" s="65" t="s">
        <v>136</v>
      </c>
      <c r="N177" s="65" t="s">
        <v>512</v>
      </c>
      <c r="O177" s="65" t="s">
        <v>215</v>
      </c>
      <c r="P177" s="65"/>
      <c r="Q177" s="65"/>
      <c r="R177" s="65">
        <f>Tabela393[[#This Row],[Atividade]]*Tabela393[[#This Row],[Quant.]]</f>
        <v>0</v>
      </c>
      <c r="S177" s="84"/>
      <c r="T177" s="70"/>
      <c r="X177" s="70"/>
      <c r="AB177" s="83"/>
      <c r="AC177" s="83"/>
      <c r="AD177" s="83"/>
      <c r="AE177" s="83"/>
      <c r="AF177" s="83"/>
      <c r="AG177" s="93" t="s">
        <v>516</v>
      </c>
      <c r="AH177" s="66" t="s">
        <v>520</v>
      </c>
      <c r="AI177" s="66" t="s">
        <v>86</v>
      </c>
      <c r="AJ177" s="94">
        <v>1</v>
      </c>
    </row>
    <row r="178" spans="1:36" x14ac:dyDescent="0.25">
      <c r="A178" s="70"/>
      <c r="B178" s="70"/>
      <c r="C178" s="70"/>
      <c r="D178" s="70"/>
      <c r="E178" s="70"/>
      <c r="F178" s="70"/>
      <c r="J178" s="65" t="s">
        <v>527</v>
      </c>
      <c r="K178" s="65" t="s">
        <v>171</v>
      </c>
      <c r="L178" s="65" t="s">
        <v>270</v>
      </c>
      <c r="M178" s="65" t="s">
        <v>136</v>
      </c>
      <c r="N178" s="65" t="s">
        <v>512</v>
      </c>
      <c r="O178" s="65" t="s">
        <v>219</v>
      </c>
      <c r="P178" s="65"/>
      <c r="Q178" s="65"/>
      <c r="R178" s="65">
        <f>Tabela393[[#This Row],[Atividade]]*Tabela393[[#This Row],[Quant.]]</f>
        <v>0</v>
      </c>
      <c r="S178" s="84"/>
      <c r="T178" s="70"/>
      <c r="X178" s="70"/>
      <c r="AB178" s="83"/>
      <c r="AC178" s="83"/>
      <c r="AD178" s="83"/>
      <c r="AE178" s="83"/>
      <c r="AF178" s="83"/>
      <c r="AG178" s="93" t="s">
        <v>516</v>
      </c>
      <c r="AH178" s="66" t="s">
        <v>520</v>
      </c>
      <c r="AI178" s="66" t="s">
        <v>87</v>
      </c>
      <c r="AJ178" s="94">
        <v>1</v>
      </c>
    </row>
    <row r="179" spans="1:36" x14ac:dyDescent="0.25">
      <c r="A179" s="70"/>
      <c r="B179" s="70"/>
      <c r="C179" s="70"/>
      <c r="D179" s="70"/>
      <c r="E179" s="70"/>
      <c r="F179" s="70"/>
      <c r="J179" s="65" t="s">
        <v>528</v>
      </c>
      <c r="K179" s="65" t="s">
        <v>171</v>
      </c>
      <c r="L179" s="65" t="s">
        <v>270</v>
      </c>
      <c r="M179" s="65" t="s">
        <v>136</v>
      </c>
      <c r="N179" s="65" t="s">
        <v>512</v>
      </c>
      <c r="O179" s="65" t="s">
        <v>223</v>
      </c>
      <c r="P179" s="65"/>
      <c r="Q179" s="65"/>
      <c r="R179" s="65">
        <f>Tabela393[[#This Row],[Atividade]]*Tabela393[[#This Row],[Quant.]]</f>
        <v>0</v>
      </c>
      <c r="S179" s="84"/>
      <c r="T179" s="70"/>
      <c r="X179" s="70"/>
      <c r="AB179" s="83"/>
      <c r="AC179" s="83"/>
      <c r="AD179" s="83"/>
      <c r="AE179" s="83"/>
      <c r="AF179" s="83"/>
      <c r="AG179" s="93" t="s">
        <v>516</v>
      </c>
      <c r="AH179" s="66" t="s">
        <v>520</v>
      </c>
      <c r="AI179" s="66" t="s">
        <v>88</v>
      </c>
      <c r="AJ179" s="94">
        <v>1</v>
      </c>
    </row>
    <row r="180" spans="1:36" x14ac:dyDescent="0.25">
      <c r="A180" s="70"/>
      <c r="B180" s="70"/>
      <c r="C180" s="70"/>
      <c r="D180" s="70"/>
      <c r="E180" s="70"/>
      <c r="F180" s="70"/>
      <c r="J180" s="65" t="s">
        <v>529</v>
      </c>
      <c r="K180" s="65" t="s">
        <v>171</v>
      </c>
      <c r="L180" s="65" t="s">
        <v>270</v>
      </c>
      <c r="M180" s="65" t="s">
        <v>136</v>
      </c>
      <c r="N180" s="65" t="s">
        <v>512</v>
      </c>
      <c r="O180" s="65" t="s">
        <v>226</v>
      </c>
      <c r="P180" s="65"/>
      <c r="Q180" s="65"/>
      <c r="R180" s="65">
        <f>Tabela393[[#This Row],[Atividade]]*Tabela393[[#This Row],[Quant.]]</f>
        <v>0</v>
      </c>
      <c r="S180" s="84"/>
      <c r="T180" s="70"/>
      <c r="X180" s="70"/>
      <c r="AB180" s="83"/>
      <c r="AC180" s="83"/>
      <c r="AD180" s="83"/>
      <c r="AE180" s="83"/>
      <c r="AF180" s="83"/>
      <c r="AG180" s="93" t="s">
        <v>516</v>
      </c>
      <c r="AH180" s="66" t="s">
        <v>520</v>
      </c>
      <c r="AI180" s="66" t="s">
        <v>89</v>
      </c>
      <c r="AJ180" s="94">
        <v>1</v>
      </c>
    </row>
    <row r="181" spans="1:36" x14ac:dyDescent="0.25">
      <c r="A181" s="70"/>
      <c r="B181" s="70"/>
      <c r="C181" s="70"/>
      <c r="D181" s="70"/>
      <c r="E181" s="70"/>
      <c r="F181" s="70"/>
      <c r="J181" s="65" t="s">
        <v>530</v>
      </c>
      <c r="K181" s="65" t="s">
        <v>171</v>
      </c>
      <c r="L181" s="65" t="s">
        <v>270</v>
      </c>
      <c r="M181" s="65" t="s">
        <v>136</v>
      </c>
      <c r="N181" s="65" t="s">
        <v>512</v>
      </c>
      <c r="O181" s="65" t="s">
        <v>230</v>
      </c>
      <c r="P181" s="65"/>
      <c r="Q181" s="65"/>
      <c r="R181" s="65">
        <f>Tabela393[[#This Row],[Atividade]]*Tabela393[[#This Row],[Quant.]]</f>
        <v>0</v>
      </c>
      <c r="S181" s="84"/>
      <c r="T181" s="70"/>
      <c r="X181" s="70"/>
      <c r="AB181" s="83"/>
      <c r="AC181" s="83"/>
      <c r="AD181" s="83"/>
      <c r="AE181" s="83"/>
      <c r="AF181" s="83"/>
      <c r="AG181" s="93" t="s">
        <v>516</v>
      </c>
      <c r="AH181" s="66" t="s">
        <v>520</v>
      </c>
      <c r="AI181" s="66" t="s">
        <v>90</v>
      </c>
      <c r="AJ181" s="94">
        <v>1</v>
      </c>
    </row>
    <row r="182" spans="1:36" x14ac:dyDescent="0.25">
      <c r="A182" s="70"/>
      <c r="B182" s="70"/>
      <c r="C182" s="70"/>
      <c r="D182" s="70"/>
      <c r="E182" s="70"/>
      <c r="F182" s="70"/>
      <c r="J182" s="65" t="s">
        <v>531</v>
      </c>
      <c r="K182" s="65" t="s">
        <v>171</v>
      </c>
      <c r="L182" s="65" t="s">
        <v>270</v>
      </c>
      <c r="M182" s="65" t="s">
        <v>136</v>
      </c>
      <c r="N182" s="65" t="s">
        <v>512</v>
      </c>
      <c r="O182" s="65" t="s">
        <v>260</v>
      </c>
      <c r="P182" s="65"/>
      <c r="Q182" s="65"/>
      <c r="R182" s="65">
        <f>Tabela393[[#This Row],[Atividade]]*Tabela393[[#This Row],[Quant.]]</f>
        <v>0</v>
      </c>
      <c r="S182" s="84"/>
      <c r="T182" s="70"/>
      <c r="X182" s="70"/>
      <c r="AB182" s="83"/>
      <c r="AC182" s="83"/>
      <c r="AD182" s="83"/>
      <c r="AE182" s="83"/>
      <c r="AF182" s="83"/>
      <c r="AG182" s="93" t="s">
        <v>516</v>
      </c>
      <c r="AH182" s="66" t="s">
        <v>520</v>
      </c>
      <c r="AI182" s="66" t="s">
        <v>91</v>
      </c>
      <c r="AJ182" s="94">
        <v>1</v>
      </c>
    </row>
    <row r="183" spans="1:36" x14ac:dyDescent="0.25">
      <c r="A183" s="70"/>
      <c r="B183" s="70"/>
      <c r="C183" s="70"/>
      <c r="D183" s="70"/>
      <c r="E183" s="70"/>
      <c r="F183" s="70"/>
      <c r="J183" s="65" t="s">
        <v>532</v>
      </c>
      <c r="K183" s="65" t="s">
        <v>171</v>
      </c>
      <c r="L183" s="65" t="s">
        <v>270</v>
      </c>
      <c r="M183" s="65" t="s">
        <v>136</v>
      </c>
      <c r="N183" s="65" t="s">
        <v>512</v>
      </c>
      <c r="O183" s="65" t="s">
        <v>262</v>
      </c>
      <c r="P183" s="65"/>
      <c r="Q183" s="65"/>
      <c r="R183" s="65">
        <f>Tabela393[[#This Row],[Atividade]]*Tabela393[[#This Row],[Quant.]]</f>
        <v>0</v>
      </c>
      <c r="S183" s="84"/>
      <c r="T183" s="70"/>
      <c r="X183" s="70"/>
      <c r="AB183" s="83"/>
      <c r="AC183" s="83"/>
      <c r="AD183" s="83"/>
      <c r="AE183" s="83"/>
      <c r="AF183" s="83"/>
      <c r="AG183" s="93" t="s">
        <v>516</v>
      </c>
      <c r="AH183" s="66" t="s">
        <v>520</v>
      </c>
      <c r="AI183" s="66" t="s">
        <v>92</v>
      </c>
      <c r="AJ183" s="94">
        <v>1</v>
      </c>
    </row>
    <row r="184" spans="1:36" x14ac:dyDescent="0.25">
      <c r="A184" s="70"/>
      <c r="B184" s="70"/>
      <c r="C184" s="70"/>
      <c r="D184" s="70"/>
      <c r="E184" s="70"/>
      <c r="F184" s="70"/>
      <c r="J184" s="65" t="s">
        <v>533</v>
      </c>
      <c r="K184" s="65" t="s">
        <v>171</v>
      </c>
      <c r="L184" s="65" t="s">
        <v>270</v>
      </c>
      <c r="M184" s="65" t="s">
        <v>136</v>
      </c>
      <c r="N184" s="65" t="s">
        <v>512</v>
      </c>
      <c r="O184" s="65" t="s">
        <v>264</v>
      </c>
      <c r="P184" s="65"/>
      <c r="Q184" s="65"/>
      <c r="R184" s="65">
        <f>Tabela393[[#This Row],[Atividade]]*Tabela393[[#This Row],[Quant.]]</f>
        <v>0</v>
      </c>
      <c r="S184" s="84"/>
      <c r="T184" s="70"/>
      <c r="X184" s="70"/>
      <c r="AB184" s="83"/>
      <c r="AC184" s="83"/>
      <c r="AD184" s="83"/>
      <c r="AE184" s="83"/>
      <c r="AF184" s="83"/>
      <c r="AG184" s="93" t="s">
        <v>516</v>
      </c>
      <c r="AH184" s="66" t="s">
        <v>520</v>
      </c>
      <c r="AI184" s="66" t="s">
        <v>93</v>
      </c>
      <c r="AJ184" s="94">
        <v>1</v>
      </c>
    </row>
    <row r="185" spans="1:36" x14ac:dyDescent="0.25">
      <c r="A185" s="70"/>
      <c r="B185" s="70"/>
      <c r="C185" s="70"/>
      <c r="D185" s="70"/>
      <c r="E185" s="70"/>
      <c r="F185" s="70"/>
      <c r="J185" s="65" t="s">
        <v>534</v>
      </c>
      <c r="K185" s="65" t="s">
        <v>171</v>
      </c>
      <c r="L185" s="65" t="s">
        <v>270</v>
      </c>
      <c r="M185" s="65" t="s">
        <v>136</v>
      </c>
      <c r="N185" s="65" t="s">
        <v>512</v>
      </c>
      <c r="O185" s="65" t="s">
        <v>266</v>
      </c>
      <c r="P185" s="65"/>
      <c r="Q185" s="65"/>
      <c r="R185" s="65">
        <f>Tabela393[[#This Row],[Atividade]]*Tabela393[[#This Row],[Quant.]]</f>
        <v>0</v>
      </c>
      <c r="S185" s="84"/>
      <c r="T185" s="70"/>
      <c r="X185" s="70"/>
      <c r="AB185" s="83"/>
      <c r="AC185" s="83"/>
      <c r="AD185" s="83"/>
      <c r="AE185" s="83"/>
      <c r="AF185" s="83"/>
      <c r="AG185" s="93" t="s">
        <v>516</v>
      </c>
      <c r="AH185" s="66" t="s">
        <v>520</v>
      </c>
      <c r="AI185" s="66" t="s">
        <v>94</v>
      </c>
      <c r="AJ185" s="94">
        <v>1</v>
      </c>
    </row>
    <row r="186" spans="1:36" x14ac:dyDescent="0.25">
      <c r="A186" s="70"/>
      <c r="B186" s="70"/>
      <c r="C186" s="70"/>
      <c r="D186" s="70"/>
      <c r="E186" s="70"/>
      <c r="F186" s="70"/>
      <c r="J186" s="65" t="s">
        <v>535</v>
      </c>
      <c r="K186" s="65" t="s">
        <v>171</v>
      </c>
      <c r="L186" s="65" t="s">
        <v>270</v>
      </c>
      <c r="M186" s="65" t="s">
        <v>136</v>
      </c>
      <c r="N186" s="65" t="s">
        <v>512</v>
      </c>
      <c r="O186" s="65" t="s">
        <v>268</v>
      </c>
      <c r="P186" s="65"/>
      <c r="Q186" s="65"/>
      <c r="R186" s="65">
        <f>Tabela393[[#This Row],[Atividade]]*Tabela393[[#This Row],[Quant.]]</f>
        <v>0</v>
      </c>
      <c r="S186" s="84"/>
      <c r="T186" s="70"/>
      <c r="X186" s="70"/>
      <c r="AB186" s="83"/>
      <c r="AC186" s="83"/>
      <c r="AD186" s="83"/>
      <c r="AE186" s="83"/>
      <c r="AF186" s="83"/>
      <c r="AG186" s="93" t="s">
        <v>516</v>
      </c>
      <c r="AH186" s="66" t="s">
        <v>520</v>
      </c>
      <c r="AI186" s="66" t="s">
        <v>95</v>
      </c>
      <c r="AJ186" s="94">
        <v>1</v>
      </c>
    </row>
    <row r="187" spans="1:36" x14ac:dyDescent="0.25">
      <c r="A187" s="70"/>
      <c r="B187" s="70"/>
      <c r="C187" s="70"/>
      <c r="D187" s="70"/>
      <c r="E187" s="70"/>
      <c r="F187" s="70"/>
      <c r="J187" s="65" t="s">
        <v>536</v>
      </c>
      <c r="K187" s="65" t="s">
        <v>134</v>
      </c>
      <c r="L187" s="65" t="s">
        <v>537</v>
      </c>
      <c r="M187" s="65" t="s">
        <v>293</v>
      </c>
      <c r="N187" s="66" t="s">
        <v>537</v>
      </c>
      <c r="O187" s="65" t="s">
        <v>408</v>
      </c>
      <c r="P187" s="65">
        <v>9</v>
      </c>
      <c r="Q187" s="65"/>
      <c r="R187" s="65">
        <f>Tabela393[[#This Row],[Atividade]]*Tabela393[[#This Row],[Quant.]]</f>
        <v>0</v>
      </c>
      <c r="S187" s="84"/>
      <c r="T187" s="70"/>
      <c r="X187" s="70"/>
      <c r="AB187" s="83"/>
      <c r="AC187" s="83"/>
      <c r="AD187" s="83"/>
      <c r="AE187" s="83"/>
      <c r="AF187" s="83"/>
      <c r="AG187" s="93" t="s">
        <v>516</v>
      </c>
      <c r="AH187" s="66" t="s">
        <v>520</v>
      </c>
      <c r="AI187" s="66" t="s">
        <v>96</v>
      </c>
      <c r="AJ187" s="94">
        <v>1</v>
      </c>
    </row>
    <row r="188" spans="1:36" x14ac:dyDescent="0.25">
      <c r="A188" s="70"/>
      <c r="B188" s="70"/>
      <c r="C188" s="70"/>
      <c r="D188" s="70"/>
      <c r="E188" s="70"/>
      <c r="F188" s="70"/>
      <c r="J188" s="65" t="s">
        <v>538</v>
      </c>
      <c r="K188" s="65" t="s">
        <v>134</v>
      </c>
      <c r="L188" s="65" t="s">
        <v>537</v>
      </c>
      <c r="M188" s="65" t="s">
        <v>293</v>
      </c>
      <c r="N188" s="66" t="s">
        <v>537</v>
      </c>
      <c r="O188" s="65" t="s">
        <v>539</v>
      </c>
      <c r="P188" s="65">
        <v>8</v>
      </c>
      <c r="Q188" s="65"/>
      <c r="R188" s="65">
        <f>Tabela393[[#This Row],[Atividade]]*Tabela393[[#This Row],[Quant.]]</f>
        <v>0</v>
      </c>
      <c r="S188" s="84"/>
      <c r="T188" s="70"/>
      <c r="X188" s="70"/>
      <c r="AB188" s="83"/>
      <c r="AC188" s="83"/>
      <c r="AD188" s="83"/>
      <c r="AE188" s="83"/>
      <c r="AF188" s="83"/>
      <c r="AG188" s="93" t="s">
        <v>516</v>
      </c>
      <c r="AH188" s="66" t="s">
        <v>39</v>
      </c>
      <c r="AI188" s="66" t="s">
        <v>106</v>
      </c>
      <c r="AJ188" s="94">
        <v>1</v>
      </c>
    </row>
    <row r="189" spans="1:36" x14ac:dyDescent="0.25">
      <c r="A189" s="70"/>
      <c r="B189" s="70"/>
      <c r="C189" s="70"/>
      <c r="D189" s="70"/>
      <c r="E189" s="70"/>
      <c r="F189" s="70"/>
      <c r="J189" s="65" t="s">
        <v>540</v>
      </c>
      <c r="K189" s="65" t="s">
        <v>134</v>
      </c>
      <c r="L189" s="65" t="s">
        <v>537</v>
      </c>
      <c r="M189" s="65" t="s">
        <v>293</v>
      </c>
      <c r="N189" s="66" t="s">
        <v>537</v>
      </c>
      <c r="O189" s="65" t="s">
        <v>541</v>
      </c>
      <c r="P189" s="65">
        <v>7</v>
      </c>
      <c r="Q189" s="65"/>
      <c r="R189" s="65">
        <f>Tabela393[[#This Row],[Atividade]]*Tabela393[[#This Row],[Quant.]]</f>
        <v>0</v>
      </c>
      <c r="S189" s="84"/>
      <c r="T189" s="70"/>
      <c r="X189" s="70"/>
      <c r="AB189" s="83"/>
      <c r="AC189" s="83"/>
      <c r="AD189" s="83"/>
      <c r="AE189" s="83"/>
      <c r="AF189" s="83"/>
      <c r="AG189" s="93" t="s">
        <v>516</v>
      </c>
      <c r="AH189" s="66" t="s">
        <v>39</v>
      </c>
      <c r="AI189" s="66" t="s">
        <v>542</v>
      </c>
      <c r="AJ189" s="94">
        <v>1</v>
      </c>
    </row>
    <row r="190" spans="1:36" x14ac:dyDescent="0.25">
      <c r="A190" s="70"/>
      <c r="B190" s="70"/>
      <c r="C190" s="70"/>
      <c r="D190" s="70"/>
      <c r="E190" s="70"/>
      <c r="F190" s="70"/>
      <c r="J190" s="65" t="s">
        <v>543</v>
      </c>
      <c r="K190" s="65" t="s">
        <v>134</v>
      </c>
      <c r="L190" s="65" t="s">
        <v>537</v>
      </c>
      <c r="M190" s="65" t="s">
        <v>293</v>
      </c>
      <c r="N190" s="66" t="s">
        <v>537</v>
      </c>
      <c r="O190" s="65" t="s">
        <v>314</v>
      </c>
      <c r="P190" s="65">
        <v>6</v>
      </c>
      <c r="Q190" s="65"/>
      <c r="R190" s="65">
        <f>Tabela393[[#This Row],[Atividade]]*Tabela393[[#This Row],[Quant.]]</f>
        <v>0</v>
      </c>
      <c r="S190" s="84"/>
      <c r="T190" s="70"/>
      <c r="X190" s="70"/>
      <c r="AB190" s="83"/>
      <c r="AC190" s="83"/>
      <c r="AD190" s="83"/>
      <c r="AE190" s="83"/>
      <c r="AF190" s="83"/>
      <c r="AG190" s="93" t="s">
        <v>516</v>
      </c>
      <c r="AH190" s="66" t="s">
        <v>39</v>
      </c>
      <c r="AI190" s="66" t="s">
        <v>78</v>
      </c>
      <c r="AJ190" s="94">
        <v>1</v>
      </c>
    </row>
    <row r="191" spans="1:36" x14ac:dyDescent="0.25">
      <c r="A191" s="70"/>
      <c r="B191" s="70"/>
      <c r="C191" s="70"/>
      <c r="D191" s="70"/>
      <c r="E191" s="70"/>
      <c r="F191" s="70"/>
      <c r="J191" s="65" t="s">
        <v>544</v>
      </c>
      <c r="K191" s="65" t="s">
        <v>134</v>
      </c>
      <c r="L191" s="65" t="s">
        <v>537</v>
      </c>
      <c r="M191" s="65" t="s">
        <v>293</v>
      </c>
      <c r="N191" s="66" t="s">
        <v>537</v>
      </c>
      <c r="O191" s="65" t="s">
        <v>545</v>
      </c>
      <c r="P191" s="65">
        <v>5</v>
      </c>
      <c r="Q191" s="65"/>
      <c r="R191" s="65">
        <f>Tabela393[[#This Row],[Atividade]]*Tabela393[[#This Row],[Quant.]]</f>
        <v>0</v>
      </c>
      <c r="S191" s="84"/>
      <c r="T191" s="70"/>
      <c r="X191" s="70"/>
      <c r="AB191" s="83"/>
      <c r="AC191" s="83"/>
      <c r="AD191" s="83"/>
      <c r="AE191" s="83"/>
      <c r="AF191" s="83"/>
      <c r="AG191" s="93" t="s">
        <v>516</v>
      </c>
      <c r="AH191" s="66" t="s">
        <v>546</v>
      </c>
      <c r="AI191" s="66" t="s">
        <v>547</v>
      </c>
      <c r="AJ191" s="94">
        <v>1</v>
      </c>
    </row>
    <row r="192" spans="1:36" x14ac:dyDescent="0.25">
      <c r="A192" s="70"/>
      <c r="B192" s="70"/>
      <c r="C192" s="70"/>
      <c r="D192" s="70"/>
      <c r="E192" s="70"/>
      <c r="F192" s="70"/>
      <c r="J192" s="65" t="s">
        <v>548</v>
      </c>
      <c r="K192" s="65" t="s">
        <v>134</v>
      </c>
      <c r="L192" s="65" t="s">
        <v>537</v>
      </c>
      <c r="M192" s="65" t="s">
        <v>293</v>
      </c>
      <c r="N192" s="66" t="s">
        <v>537</v>
      </c>
      <c r="O192" s="65" t="s">
        <v>549</v>
      </c>
      <c r="P192" s="65">
        <v>4</v>
      </c>
      <c r="Q192" s="65"/>
      <c r="R192" s="65">
        <f>Tabela393[[#This Row],[Atividade]]*Tabela393[[#This Row],[Quant.]]</f>
        <v>0</v>
      </c>
      <c r="S192" s="84"/>
      <c r="T192" s="70"/>
      <c r="X192" s="70"/>
      <c r="AB192" s="83"/>
      <c r="AC192" s="83"/>
      <c r="AD192" s="83"/>
      <c r="AE192" s="83"/>
      <c r="AF192" s="83"/>
      <c r="AG192" s="93" t="s">
        <v>516</v>
      </c>
      <c r="AH192" s="66" t="s">
        <v>69</v>
      </c>
      <c r="AI192" s="66" t="s">
        <v>208</v>
      </c>
      <c r="AJ192" s="94">
        <v>3</v>
      </c>
    </row>
    <row r="193" spans="1:36" x14ac:dyDescent="0.25">
      <c r="A193" s="70"/>
      <c r="B193" s="70"/>
      <c r="C193" s="70"/>
      <c r="D193" s="70"/>
      <c r="E193" s="70"/>
      <c r="F193" s="70"/>
      <c r="J193" s="65" t="s">
        <v>550</v>
      </c>
      <c r="K193" s="65" t="s">
        <v>134</v>
      </c>
      <c r="L193" s="65" t="s">
        <v>537</v>
      </c>
      <c r="M193" s="65" t="s">
        <v>293</v>
      </c>
      <c r="N193" s="66" t="s">
        <v>537</v>
      </c>
      <c r="O193" s="65" t="s">
        <v>551</v>
      </c>
      <c r="P193" s="65">
        <v>3</v>
      </c>
      <c r="Q193" s="65"/>
      <c r="R193" s="65">
        <f>Tabela393[[#This Row],[Atividade]]*Tabela393[[#This Row],[Quant.]]</f>
        <v>0</v>
      </c>
      <c r="S193" s="84"/>
      <c r="T193" s="70"/>
      <c r="X193" s="70"/>
      <c r="AB193" s="83"/>
      <c r="AC193" s="83"/>
      <c r="AD193" s="83"/>
      <c r="AE193" s="83"/>
      <c r="AF193" s="83"/>
      <c r="AG193" s="93" t="s">
        <v>516</v>
      </c>
      <c r="AH193" s="66" t="s">
        <v>69</v>
      </c>
      <c r="AI193" s="66" t="s">
        <v>552</v>
      </c>
      <c r="AJ193" s="94">
        <v>1</v>
      </c>
    </row>
    <row r="194" spans="1:36" x14ac:dyDescent="0.25">
      <c r="A194" s="70"/>
      <c r="B194" s="70"/>
      <c r="C194" s="70"/>
      <c r="D194" s="70"/>
      <c r="E194" s="70"/>
      <c r="F194" s="70"/>
      <c r="J194" s="65" t="s">
        <v>553</v>
      </c>
      <c r="K194" s="65" t="s">
        <v>134</v>
      </c>
      <c r="L194" s="65" t="s">
        <v>537</v>
      </c>
      <c r="M194" s="65" t="s">
        <v>293</v>
      </c>
      <c r="N194" s="66" t="s">
        <v>537</v>
      </c>
      <c r="O194" s="65" t="s">
        <v>481</v>
      </c>
      <c r="P194" s="65">
        <v>2</v>
      </c>
      <c r="Q194" s="65"/>
      <c r="R194" s="65">
        <f>Tabela393[[#This Row],[Atividade]]*Tabela393[[#This Row],[Quant.]]</f>
        <v>0</v>
      </c>
      <c r="S194" s="84"/>
      <c r="T194" s="70"/>
      <c r="X194" s="70"/>
      <c r="AB194" s="83"/>
      <c r="AC194" s="83"/>
      <c r="AD194" s="83"/>
      <c r="AE194" s="83"/>
      <c r="AF194" s="83"/>
      <c r="AG194" s="93" t="s">
        <v>516</v>
      </c>
      <c r="AH194" s="66" t="s">
        <v>69</v>
      </c>
      <c r="AI194" s="66" t="s">
        <v>554</v>
      </c>
      <c r="AJ194" s="94">
        <v>1</v>
      </c>
    </row>
    <row r="195" spans="1:36" x14ac:dyDescent="0.25">
      <c r="A195" s="70"/>
      <c r="B195" s="70"/>
      <c r="C195" s="70"/>
      <c r="D195" s="70"/>
      <c r="E195" s="70"/>
      <c r="F195" s="70"/>
      <c r="J195" s="65" t="s">
        <v>555</v>
      </c>
      <c r="K195" s="65" t="s">
        <v>134</v>
      </c>
      <c r="L195" s="65" t="s">
        <v>537</v>
      </c>
      <c r="M195" s="65" t="s">
        <v>293</v>
      </c>
      <c r="N195" s="66" t="s">
        <v>537</v>
      </c>
      <c r="O195" s="65" t="s">
        <v>204</v>
      </c>
      <c r="P195" s="65">
        <v>1</v>
      </c>
      <c r="Q195" s="65"/>
      <c r="R195" s="65">
        <f>Tabela393[[#This Row],[Atividade]]*Tabela393[[#This Row],[Quant.]]</f>
        <v>0</v>
      </c>
      <c r="S195" s="84"/>
      <c r="T195" s="70"/>
      <c r="X195" s="70"/>
      <c r="AB195" s="83"/>
      <c r="AC195" s="83"/>
      <c r="AD195" s="83"/>
      <c r="AE195" s="83"/>
      <c r="AF195" s="83"/>
      <c r="AG195" s="93" t="s">
        <v>516</v>
      </c>
      <c r="AH195" s="66" t="s">
        <v>556</v>
      </c>
      <c r="AI195" s="66" t="s">
        <v>557</v>
      </c>
      <c r="AJ195" s="94">
        <v>1</v>
      </c>
    </row>
    <row r="196" spans="1:36" x14ac:dyDescent="0.25">
      <c r="A196" s="70"/>
      <c r="B196" s="70"/>
      <c r="C196" s="70"/>
      <c r="D196" s="70"/>
      <c r="E196" s="70"/>
      <c r="F196" s="70"/>
      <c r="J196" s="65" t="s">
        <v>558</v>
      </c>
      <c r="K196" s="65" t="s">
        <v>171</v>
      </c>
      <c r="L196" s="65" t="s">
        <v>537</v>
      </c>
      <c r="M196" s="65" t="s">
        <v>293</v>
      </c>
      <c r="N196" s="66" t="s">
        <v>537</v>
      </c>
      <c r="O196" s="65" t="s">
        <v>559</v>
      </c>
      <c r="P196" s="65">
        <v>8</v>
      </c>
      <c r="Q196" s="65"/>
      <c r="R196" s="65">
        <f>Tabela393[[#This Row],[Atividade]]*Tabela393[[#This Row],[Quant.]]</f>
        <v>0</v>
      </c>
      <c r="S196" s="84"/>
      <c r="T196" s="70"/>
      <c r="X196" s="70"/>
      <c r="AB196" s="83"/>
      <c r="AC196" s="83"/>
      <c r="AD196" s="83"/>
      <c r="AE196" s="83"/>
      <c r="AF196" s="83"/>
      <c r="AG196" s="93" t="s">
        <v>463</v>
      </c>
      <c r="AH196" s="66" t="s">
        <v>560</v>
      </c>
      <c r="AI196" s="66" t="s">
        <v>561</v>
      </c>
      <c r="AJ196" s="94">
        <v>1</v>
      </c>
    </row>
    <row r="197" spans="1:36" x14ac:dyDescent="0.25">
      <c r="A197" s="70"/>
      <c r="B197" s="70"/>
      <c r="C197" s="70"/>
      <c r="D197" s="70"/>
      <c r="E197" s="70"/>
      <c r="F197" s="70"/>
      <c r="J197" s="65" t="s">
        <v>562</v>
      </c>
      <c r="K197" s="65" t="s">
        <v>171</v>
      </c>
      <c r="L197" s="65" t="s">
        <v>537</v>
      </c>
      <c r="M197" s="65" t="s">
        <v>293</v>
      </c>
      <c r="N197" s="66" t="s">
        <v>537</v>
      </c>
      <c r="O197" s="65" t="s">
        <v>319</v>
      </c>
      <c r="P197" s="65">
        <v>7</v>
      </c>
      <c r="Q197" s="65"/>
      <c r="R197" s="65">
        <f>Tabela393[[#This Row],[Atividade]]*Tabela393[[#This Row],[Quant.]]</f>
        <v>0</v>
      </c>
      <c r="S197" s="84"/>
      <c r="T197" s="70"/>
      <c r="X197" s="70"/>
      <c r="AB197" s="83"/>
      <c r="AC197" s="83"/>
      <c r="AD197" s="83"/>
      <c r="AE197" s="83"/>
      <c r="AF197" s="83"/>
      <c r="AG197" s="93" t="s">
        <v>463</v>
      </c>
      <c r="AH197" s="66" t="s">
        <v>77</v>
      </c>
      <c r="AI197" s="66" t="s">
        <v>208</v>
      </c>
      <c r="AJ197" s="94">
        <v>1</v>
      </c>
    </row>
    <row r="198" spans="1:36" x14ac:dyDescent="0.25">
      <c r="A198" s="70"/>
      <c r="B198" s="70"/>
      <c r="C198" s="70"/>
      <c r="D198" s="70"/>
      <c r="E198" s="70"/>
      <c r="F198" s="70"/>
      <c r="J198" s="65" t="s">
        <v>563</v>
      </c>
      <c r="K198" s="65" t="s">
        <v>171</v>
      </c>
      <c r="L198" s="65" t="s">
        <v>537</v>
      </c>
      <c r="M198" s="65" t="s">
        <v>293</v>
      </c>
      <c r="N198" s="66" t="s">
        <v>537</v>
      </c>
      <c r="O198" s="65" t="s">
        <v>321</v>
      </c>
      <c r="P198" s="65">
        <v>6</v>
      </c>
      <c r="Q198" s="65"/>
      <c r="R198" s="65">
        <f>Tabela393[[#This Row],[Atividade]]*Tabela393[[#This Row],[Quant.]]</f>
        <v>0</v>
      </c>
      <c r="S198" s="84"/>
      <c r="T198" s="70"/>
      <c r="X198" s="70"/>
      <c r="AB198" s="83"/>
      <c r="AC198" s="83"/>
      <c r="AD198" s="83"/>
      <c r="AE198" s="83"/>
      <c r="AF198" s="83"/>
      <c r="AG198" s="93" t="s">
        <v>463</v>
      </c>
      <c r="AH198" s="66" t="s">
        <v>75</v>
      </c>
      <c r="AI198" s="66" t="s">
        <v>80</v>
      </c>
      <c r="AJ198" s="94">
        <v>1</v>
      </c>
    </row>
    <row r="199" spans="1:36" x14ac:dyDescent="0.25">
      <c r="A199" s="70"/>
      <c r="B199" s="70"/>
      <c r="C199" s="70"/>
      <c r="D199" s="70"/>
      <c r="E199" s="70"/>
      <c r="F199" s="70"/>
      <c r="J199" s="65" t="s">
        <v>564</v>
      </c>
      <c r="K199" s="65" t="s">
        <v>171</v>
      </c>
      <c r="L199" s="65" t="s">
        <v>537</v>
      </c>
      <c r="M199" s="65" t="s">
        <v>293</v>
      </c>
      <c r="N199" s="66" t="s">
        <v>537</v>
      </c>
      <c r="O199" s="65" t="s">
        <v>323</v>
      </c>
      <c r="P199" s="65">
        <v>5</v>
      </c>
      <c r="Q199" s="65"/>
      <c r="R199" s="65">
        <f>Tabela393[[#This Row],[Atividade]]*Tabela393[[#This Row],[Quant.]]</f>
        <v>0</v>
      </c>
      <c r="S199" s="84"/>
      <c r="T199" s="70"/>
      <c r="X199" s="70"/>
      <c r="AB199" s="83"/>
      <c r="AC199" s="83"/>
      <c r="AD199" s="83"/>
      <c r="AE199" s="83"/>
      <c r="AF199" s="83"/>
      <c r="AG199" s="93" t="s">
        <v>463</v>
      </c>
      <c r="AH199" s="66" t="s">
        <v>75</v>
      </c>
      <c r="AI199" s="66" t="s">
        <v>81</v>
      </c>
      <c r="AJ199" s="94">
        <v>1</v>
      </c>
    </row>
    <row r="200" spans="1:36" x14ac:dyDescent="0.25">
      <c r="A200" s="70"/>
      <c r="B200" s="70"/>
      <c r="C200" s="70"/>
      <c r="D200" s="70"/>
      <c r="E200" s="70"/>
      <c r="F200" s="70"/>
      <c r="J200" s="65" t="s">
        <v>565</v>
      </c>
      <c r="K200" s="65" t="s">
        <v>171</v>
      </c>
      <c r="L200" s="65" t="s">
        <v>537</v>
      </c>
      <c r="M200" s="65" t="s">
        <v>293</v>
      </c>
      <c r="N200" s="66" t="s">
        <v>537</v>
      </c>
      <c r="O200" s="65" t="s">
        <v>325</v>
      </c>
      <c r="P200" s="65">
        <v>4</v>
      </c>
      <c r="Q200" s="65">
        <v>4</v>
      </c>
      <c r="R200" s="65">
        <f>Tabela393[[#This Row],[Atividade]]*Tabela393[[#This Row],[Quant.]]</f>
        <v>16</v>
      </c>
      <c r="S200" s="84"/>
      <c r="T200" s="70"/>
      <c r="X200" s="70"/>
      <c r="AB200" s="83"/>
      <c r="AC200" s="83"/>
      <c r="AD200" s="83"/>
      <c r="AE200" s="83"/>
      <c r="AF200" s="83"/>
      <c r="AG200" s="93" t="s">
        <v>463</v>
      </c>
      <c r="AH200" s="66" t="s">
        <v>75</v>
      </c>
      <c r="AI200" s="66" t="s">
        <v>79</v>
      </c>
      <c r="AJ200" s="94">
        <v>1</v>
      </c>
    </row>
    <row r="201" spans="1:36" x14ac:dyDescent="0.25">
      <c r="A201" s="70"/>
      <c r="B201" s="70"/>
      <c r="C201" s="70"/>
      <c r="D201" s="70"/>
      <c r="E201" s="70"/>
      <c r="F201" s="70"/>
      <c r="J201" s="65" t="s">
        <v>566</v>
      </c>
      <c r="K201" s="65" t="s">
        <v>171</v>
      </c>
      <c r="L201" s="65" t="s">
        <v>537</v>
      </c>
      <c r="M201" s="65" t="s">
        <v>293</v>
      </c>
      <c r="N201" s="66" t="s">
        <v>537</v>
      </c>
      <c r="O201" s="65" t="s">
        <v>327</v>
      </c>
      <c r="P201" s="65">
        <v>3</v>
      </c>
      <c r="Q201" s="65"/>
      <c r="R201" s="65">
        <f>Tabela393[[#This Row],[Atividade]]*Tabela393[[#This Row],[Quant.]]</f>
        <v>0</v>
      </c>
      <c r="S201" s="84"/>
      <c r="T201" s="70"/>
      <c r="X201" s="70"/>
      <c r="AB201" s="83"/>
      <c r="AC201" s="83"/>
      <c r="AD201" s="83"/>
      <c r="AE201" s="83"/>
      <c r="AF201" s="83"/>
      <c r="AG201" s="93" t="s">
        <v>463</v>
      </c>
      <c r="AH201" s="66" t="s">
        <v>75</v>
      </c>
      <c r="AI201" s="66" t="s">
        <v>82</v>
      </c>
      <c r="AJ201" s="94">
        <v>1</v>
      </c>
    </row>
    <row r="202" spans="1:36" x14ac:dyDescent="0.25">
      <c r="A202" s="70"/>
      <c r="B202" s="70"/>
      <c r="C202" s="70"/>
      <c r="D202" s="70"/>
      <c r="E202" s="70"/>
      <c r="F202" s="70"/>
      <c r="J202" s="65" t="s">
        <v>567</v>
      </c>
      <c r="K202" s="65" t="s">
        <v>171</v>
      </c>
      <c r="L202" s="65" t="s">
        <v>537</v>
      </c>
      <c r="M202" s="65" t="s">
        <v>293</v>
      </c>
      <c r="N202" s="66" t="s">
        <v>537</v>
      </c>
      <c r="O202" s="65" t="s">
        <v>329</v>
      </c>
      <c r="P202" s="65">
        <v>2</v>
      </c>
      <c r="Q202" s="65"/>
      <c r="R202" s="65">
        <f>Tabela393[[#This Row],[Atividade]]*Tabela393[[#This Row],[Quant.]]</f>
        <v>0</v>
      </c>
      <c r="S202" s="84"/>
      <c r="T202" s="70"/>
      <c r="X202" s="70"/>
      <c r="AB202" s="83"/>
      <c r="AC202" s="83"/>
      <c r="AD202" s="83"/>
      <c r="AE202" s="83"/>
      <c r="AF202" s="83"/>
      <c r="AG202" s="93" t="s">
        <v>463</v>
      </c>
      <c r="AH202" s="66" t="s">
        <v>75</v>
      </c>
      <c r="AI202" s="66" t="s">
        <v>83</v>
      </c>
      <c r="AJ202" s="94">
        <v>1</v>
      </c>
    </row>
    <row r="203" spans="1:36" x14ac:dyDescent="0.25">
      <c r="A203" s="70"/>
      <c r="B203" s="70"/>
      <c r="C203" s="70"/>
      <c r="D203" s="70"/>
      <c r="E203" s="70"/>
      <c r="F203" s="70"/>
      <c r="J203" s="65" t="s">
        <v>568</v>
      </c>
      <c r="K203" s="65" t="s">
        <v>171</v>
      </c>
      <c r="L203" s="65" t="s">
        <v>537</v>
      </c>
      <c r="M203" s="65" t="s">
        <v>293</v>
      </c>
      <c r="N203" s="66" t="s">
        <v>537</v>
      </c>
      <c r="O203" s="65" t="s">
        <v>262</v>
      </c>
      <c r="P203" s="65">
        <v>1</v>
      </c>
      <c r="Q203" s="65"/>
      <c r="R203" s="65">
        <f>Tabela393[[#This Row],[Atividade]]*Tabela393[[#This Row],[Quant.]]</f>
        <v>0</v>
      </c>
      <c r="S203" s="84"/>
      <c r="T203" s="70"/>
      <c r="X203" s="70"/>
      <c r="AB203" s="83"/>
      <c r="AC203" s="83"/>
      <c r="AD203" s="83"/>
      <c r="AE203" s="83"/>
      <c r="AF203" s="83"/>
      <c r="AG203" s="93" t="s">
        <v>463</v>
      </c>
      <c r="AH203" s="66" t="s">
        <v>75</v>
      </c>
      <c r="AI203" s="66" t="s">
        <v>84</v>
      </c>
      <c r="AJ203" s="94">
        <v>1</v>
      </c>
    </row>
    <row r="204" spans="1:36" x14ac:dyDescent="0.25">
      <c r="A204" s="70"/>
      <c r="B204" s="70"/>
      <c r="C204" s="70"/>
      <c r="D204" s="70"/>
      <c r="E204" s="70"/>
      <c r="F204" s="70"/>
      <c r="J204" s="65" t="s">
        <v>569</v>
      </c>
      <c r="K204" s="65" t="s">
        <v>134</v>
      </c>
      <c r="L204" s="65" t="s">
        <v>270</v>
      </c>
      <c r="M204" s="65" t="s">
        <v>136</v>
      </c>
      <c r="N204" s="65" t="s">
        <v>570</v>
      </c>
      <c r="O204" s="65" t="s">
        <v>138</v>
      </c>
      <c r="P204" s="65"/>
      <c r="Q204" s="65"/>
      <c r="R204" s="65">
        <f>Tabela393[[#This Row],[Atividade]]*Tabela393[[#This Row],[Quant.]]</f>
        <v>0</v>
      </c>
      <c r="S204" s="84"/>
      <c r="T204" s="70"/>
      <c r="X204" s="70"/>
      <c r="AB204" s="83"/>
      <c r="AC204" s="83"/>
      <c r="AD204" s="83"/>
      <c r="AE204" s="83"/>
      <c r="AF204" s="83"/>
      <c r="AG204" s="93" t="s">
        <v>463</v>
      </c>
      <c r="AH204" s="66" t="s">
        <v>75</v>
      </c>
      <c r="AI204" s="66" t="s">
        <v>85</v>
      </c>
      <c r="AJ204" s="94">
        <v>1</v>
      </c>
    </row>
    <row r="205" spans="1:36" x14ac:dyDescent="0.25">
      <c r="A205" s="70"/>
      <c r="B205" s="70"/>
      <c r="C205" s="70"/>
      <c r="D205" s="70"/>
      <c r="E205" s="70"/>
      <c r="F205" s="70"/>
      <c r="J205" s="65" t="s">
        <v>571</v>
      </c>
      <c r="K205" s="65" t="s">
        <v>134</v>
      </c>
      <c r="L205" s="65" t="s">
        <v>270</v>
      </c>
      <c r="M205" s="65" t="s">
        <v>136</v>
      </c>
      <c r="N205" s="65" t="s">
        <v>570</v>
      </c>
      <c r="O205" s="65" t="s">
        <v>152</v>
      </c>
      <c r="P205" s="65"/>
      <c r="Q205" s="65"/>
      <c r="R205" s="65">
        <f>Tabela393[[#This Row],[Atividade]]*Tabela393[[#This Row],[Quant.]]</f>
        <v>0</v>
      </c>
      <c r="S205" s="84"/>
      <c r="T205" s="70"/>
      <c r="X205" s="70"/>
      <c r="AB205" s="83"/>
      <c r="AC205" s="83"/>
      <c r="AD205" s="83"/>
      <c r="AE205" s="83"/>
      <c r="AF205" s="83"/>
      <c r="AG205" s="93" t="s">
        <v>463</v>
      </c>
      <c r="AH205" s="66" t="s">
        <v>75</v>
      </c>
      <c r="AI205" s="66" t="s">
        <v>86</v>
      </c>
      <c r="AJ205" s="94">
        <v>1</v>
      </c>
    </row>
    <row r="206" spans="1:36" x14ac:dyDescent="0.25">
      <c r="A206" s="70"/>
      <c r="B206" s="70"/>
      <c r="C206" s="70"/>
      <c r="D206" s="70"/>
      <c r="E206" s="70"/>
      <c r="F206" s="70"/>
      <c r="J206" s="65" t="s">
        <v>572</v>
      </c>
      <c r="K206" s="65" t="s">
        <v>134</v>
      </c>
      <c r="L206" s="65" t="s">
        <v>270</v>
      </c>
      <c r="M206" s="65" t="s">
        <v>136</v>
      </c>
      <c r="N206" s="65" t="s">
        <v>570</v>
      </c>
      <c r="O206" s="65" t="s">
        <v>161</v>
      </c>
      <c r="P206" s="65"/>
      <c r="Q206" s="65"/>
      <c r="R206" s="65">
        <f>Tabela393[[#This Row],[Atividade]]*Tabela393[[#This Row],[Quant.]]</f>
        <v>0</v>
      </c>
      <c r="S206" s="84"/>
      <c r="T206" s="70"/>
      <c r="X206" s="70"/>
      <c r="AB206" s="83"/>
      <c r="AC206" s="83"/>
      <c r="AD206" s="83"/>
      <c r="AE206" s="83"/>
      <c r="AF206" s="83"/>
      <c r="AG206" s="93" t="s">
        <v>463</v>
      </c>
      <c r="AH206" s="66" t="s">
        <v>75</v>
      </c>
      <c r="AI206" s="66" t="s">
        <v>87</v>
      </c>
      <c r="AJ206" s="94">
        <v>1</v>
      </c>
    </row>
    <row r="207" spans="1:36" x14ac:dyDescent="0.25">
      <c r="A207" s="70"/>
      <c r="B207" s="70"/>
      <c r="C207" s="70"/>
      <c r="D207" s="70"/>
      <c r="E207" s="70"/>
      <c r="F207" s="70"/>
      <c r="J207" s="65" t="s">
        <v>573</v>
      </c>
      <c r="K207" s="65" t="s">
        <v>134</v>
      </c>
      <c r="L207" s="65" t="s">
        <v>270</v>
      </c>
      <c r="M207" s="65" t="s">
        <v>136</v>
      </c>
      <c r="N207" s="65" t="s">
        <v>570</v>
      </c>
      <c r="O207" s="65" t="s">
        <v>172</v>
      </c>
      <c r="P207" s="65"/>
      <c r="Q207" s="65"/>
      <c r="R207" s="65">
        <f>Tabela393[[#This Row],[Atividade]]*Tabela393[[#This Row],[Quant.]]</f>
        <v>0</v>
      </c>
      <c r="S207" s="84"/>
      <c r="T207" s="70"/>
      <c r="X207" s="70"/>
      <c r="AB207" s="83"/>
      <c r="AC207" s="83"/>
      <c r="AD207" s="83"/>
      <c r="AE207" s="83"/>
      <c r="AF207" s="83"/>
      <c r="AG207" s="93" t="s">
        <v>463</v>
      </c>
      <c r="AH207" s="66" t="s">
        <v>75</v>
      </c>
      <c r="AI207" s="66" t="s">
        <v>88</v>
      </c>
      <c r="AJ207" s="94">
        <v>1</v>
      </c>
    </row>
    <row r="208" spans="1:36" x14ac:dyDescent="0.25">
      <c r="A208" s="70"/>
      <c r="B208" s="70"/>
      <c r="C208" s="70"/>
      <c r="D208" s="70"/>
      <c r="E208" s="70"/>
      <c r="F208" s="70"/>
      <c r="J208" s="65" t="s">
        <v>574</v>
      </c>
      <c r="K208" s="65" t="s">
        <v>134</v>
      </c>
      <c r="L208" s="65" t="s">
        <v>270</v>
      </c>
      <c r="M208" s="65" t="s">
        <v>136</v>
      </c>
      <c r="N208" s="65" t="s">
        <v>570</v>
      </c>
      <c r="O208" s="65" t="s">
        <v>180</v>
      </c>
      <c r="P208" s="65"/>
      <c r="Q208" s="65"/>
      <c r="R208" s="65">
        <f>Tabela393[[#This Row],[Atividade]]*Tabela393[[#This Row],[Quant.]]</f>
        <v>0</v>
      </c>
      <c r="S208" s="84"/>
      <c r="T208" s="70"/>
      <c r="X208" s="70"/>
      <c r="AB208" s="83"/>
      <c r="AC208" s="83"/>
      <c r="AD208" s="83"/>
      <c r="AE208" s="83"/>
      <c r="AF208" s="83"/>
      <c r="AG208" s="93" t="s">
        <v>463</v>
      </c>
      <c r="AH208" s="66" t="s">
        <v>75</v>
      </c>
      <c r="AI208" s="66" t="s">
        <v>89</v>
      </c>
      <c r="AJ208" s="94">
        <v>1</v>
      </c>
    </row>
    <row r="209" spans="1:36" x14ac:dyDescent="0.25">
      <c r="A209" s="70"/>
      <c r="B209" s="70"/>
      <c r="C209" s="70"/>
      <c r="D209" s="70"/>
      <c r="E209" s="70"/>
      <c r="F209" s="70"/>
      <c r="J209" s="65" t="s">
        <v>575</v>
      </c>
      <c r="K209" s="65" t="s">
        <v>134</v>
      </c>
      <c r="L209" s="65" t="s">
        <v>270</v>
      </c>
      <c r="M209" s="65" t="s">
        <v>136</v>
      </c>
      <c r="N209" s="65" t="s">
        <v>570</v>
      </c>
      <c r="O209" s="65" t="s">
        <v>188</v>
      </c>
      <c r="P209" s="65"/>
      <c r="Q209" s="65"/>
      <c r="R209" s="65">
        <f>Tabela393[[#This Row],[Atividade]]*Tabela393[[#This Row],[Quant.]]</f>
        <v>0</v>
      </c>
      <c r="S209" s="84"/>
      <c r="T209" s="70"/>
      <c r="X209" s="70"/>
      <c r="AB209" s="83"/>
      <c r="AC209" s="83"/>
      <c r="AD209" s="83"/>
      <c r="AE209" s="83"/>
      <c r="AF209" s="83"/>
      <c r="AG209" s="93" t="s">
        <v>463</v>
      </c>
      <c r="AH209" s="66" t="s">
        <v>75</v>
      </c>
      <c r="AI209" s="66" t="s">
        <v>90</v>
      </c>
      <c r="AJ209" s="94">
        <v>1</v>
      </c>
    </row>
    <row r="210" spans="1:36" x14ac:dyDescent="0.25">
      <c r="A210" s="70"/>
      <c r="B210" s="70"/>
      <c r="C210" s="70"/>
      <c r="D210" s="70"/>
      <c r="E210" s="70"/>
      <c r="F210" s="70"/>
      <c r="J210" s="65" t="s">
        <v>576</v>
      </c>
      <c r="K210" s="65" t="s">
        <v>134</v>
      </c>
      <c r="L210" s="65" t="s">
        <v>270</v>
      </c>
      <c r="M210" s="65" t="s">
        <v>136</v>
      </c>
      <c r="N210" s="65" t="s">
        <v>570</v>
      </c>
      <c r="O210" s="65" t="s">
        <v>195</v>
      </c>
      <c r="P210" s="65"/>
      <c r="Q210" s="65"/>
      <c r="R210" s="65">
        <f>Tabela393[[#This Row],[Atividade]]*Tabela393[[#This Row],[Quant.]]</f>
        <v>0</v>
      </c>
      <c r="S210" s="84"/>
      <c r="T210" s="70"/>
      <c r="X210" s="70"/>
      <c r="AB210" s="83"/>
      <c r="AC210" s="83"/>
      <c r="AD210" s="83"/>
      <c r="AE210" s="83"/>
      <c r="AF210" s="83"/>
      <c r="AG210" s="93" t="s">
        <v>463</v>
      </c>
      <c r="AH210" s="66" t="s">
        <v>75</v>
      </c>
      <c r="AI210" s="66" t="s">
        <v>91</v>
      </c>
      <c r="AJ210" s="94">
        <v>1</v>
      </c>
    </row>
    <row r="211" spans="1:36" x14ac:dyDescent="0.25">
      <c r="A211" s="70"/>
      <c r="B211" s="70"/>
      <c r="C211" s="70"/>
      <c r="D211" s="70"/>
      <c r="E211" s="70"/>
      <c r="F211" s="70"/>
      <c r="J211" s="65" t="s">
        <v>577</v>
      </c>
      <c r="K211" s="65" t="s">
        <v>134</v>
      </c>
      <c r="L211" s="65" t="s">
        <v>270</v>
      </c>
      <c r="M211" s="65" t="s">
        <v>136</v>
      </c>
      <c r="N211" s="65" t="s">
        <v>570</v>
      </c>
      <c r="O211" s="65" t="s">
        <v>200</v>
      </c>
      <c r="P211" s="65"/>
      <c r="Q211" s="65"/>
      <c r="R211" s="65">
        <f>Tabela393[[#This Row],[Atividade]]*Tabela393[[#This Row],[Quant.]]</f>
        <v>0</v>
      </c>
      <c r="S211" s="84"/>
      <c r="T211" s="70"/>
      <c r="X211" s="70"/>
      <c r="AB211" s="83"/>
      <c r="AC211" s="83"/>
      <c r="AD211" s="83"/>
      <c r="AE211" s="83"/>
      <c r="AF211" s="83"/>
      <c r="AG211" s="93" t="s">
        <v>463</v>
      </c>
      <c r="AH211" s="66" t="s">
        <v>75</v>
      </c>
      <c r="AI211" s="66" t="s">
        <v>92</v>
      </c>
      <c r="AJ211" s="94">
        <v>1</v>
      </c>
    </row>
    <row r="212" spans="1:36" x14ac:dyDescent="0.25">
      <c r="A212" s="70"/>
      <c r="B212" s="70"/>
      <c r="C212" s="70"/>
      <c r="D212" s="70"/>
      <c r="E212" s="70"/>
      <c r="F212" s="70"/>
      <c r="J212" s="65" t="s">
        <v>578</v>
      </c>
      <c r="K212" s="65" t="s">
        <v>134</v>
      </c>
      <c r="L212" s="65" t="s">
        <v>270</v>
      </c>
      <c r="M212" s="65" t="s">
        <v>136</v>
      </c>
      <c r="N212" s="65" t="s">
        <v>570</v>
      </c>
      <c r="O212" s="65" t="s">
        <v>204</v>
      </c>
      <c r="P212" s="65"/>
      <c r="Q212" s="65"/>
      <c r="R212" s="65">
        <f>Tabela393[[#This Row],[Atividade]]*Tabela393[[#This Row],[Quant.]]</f>
        <v>0</v>
      </c>
      <c r="S212" s="84"/>
      <c r="T212" s="70"/>
      <c r="X212" s="70"/>
      <c r="AB212" s="83"/>
      <c r="AC212" s="83"/>
      <c r="AD212" s="83"/>
      <c r="AE212" s="83"/>
      <c r="AF212" s="83"/>
      <c r="AG212" s="93" t="s">
        <v>463</v>
      </c>
      <c r="AH212" s="66" t="s">
        <v>75</v>
      </c>
      <c r="AI212" s="66" t="s">
        <v>93</v>
      </c>
      <c r="AJ212" s="94">
        <v>1</v>
      </c>
    </row>
    <row r="213" spans="1:36" x14ac:dyDescent="0.25">
      <c r="A213" s="70"/>
      <c r="B213" s="70"/>
      <c r="C213" s="70"/>
      <c r="D213" s="70"/>
      <c r="E213" s="70"/>
      <c r="F213" s="70"/>
      <c r="J213" s="65" t="s">
        <v>579</v>
      </c>
      <c r="K213" s="65" t="s">
        <v>134</v>
      </c>
      <c r="L213" s="65" t="s">
        <v>270</v>
      </c>
      <c r="M213" s="65" t="s">
        <v>136</v>
      </c>
      <c r="N213" s="65" t="s">
        <v>570</v>
      </c>
      <c r="O213" s="65" t="s">
        <v>210</v>
      </c>
      <c r="P213" s="65"/>
      <c r="Q213" s="65"/>
      <c r="R213" s="65">
        <f>Tabela393[[#This Row],[Atividade]]*Tabela393[[#This Row],[Quant.]]</f>
        <v>0</v>
      </c>
      <c r="S213" s="84"/>
      <c r="T213" s="70"/>
      <c r="X213" s="70"/>
      <c r="AB213" s="83"/>
      <c r="AC213" s="83"/>
      <c r="AD213" s="83"/>
      <c r="AE213" s="83"/>
      <c r="AF213" s="83"/>
      <c r="AG213" s="93" t="s">
        <v>463</v>
      </c>
      <c r="AH213" s="66" t="s">
        <v>75</v>
      </c>
      <c r="AI213" s="66" t="s">
        <v>94</v>
      </c>
      <c r="AJ213" s="94">
        <v>1</v>
      </c>
    </row>
    <row r="214" spans="1:36" x14ac:dyDescent="0.25">
      <c r="A214" s="70"/>
      <c r="B214" s="70"/>
      <c r="C214" s="70"/>
      <c r="D214" s="70"/>
      <c r="E214" s="70"/>
      <c r="F214" s="70"/>
      <c r="J214" s="65" t="s">
        <v>580</v>
      </c>
      <c r="K214" s="65" t="s">
        <v>171</v>
      </c>
      <c r="L214" s="65" t="s">
        <v>270</v>
      </c>
      <c r="M214" s="65" t="s">
        <v>136</v>
      </c>
      <c r="N214" s="65" t="s">
        <v>570</v>
      </c>
      <c r="O214" s="65" t="s">
        <v>215</v>
      </c>
      <c r="P214" s="65"/>
      <c r="Q214" s="65"/>
      <c r="R214" s="65">
        <f>Tabela393[[#This Row],[Atividade]]*Tabela393[[#This Row],[Quant.]]</f>
        <v>0</v>
      </c>
      <c r="S214" s="84"/>
      <c r="T214" s="70"/>
      <c r="X214" s="70"/>
      <c r="AB214" s="83"/>
      <c r="AC214" s="83"/>
      <c r="AD214" s="83"/>
      <c r="AE214" s="83"/>
      <c r="AF214" s="83"/>
      <c r="AG214" s="93" t="s">
        <v>463</v>
      </c>
      <c r="AH214" s="66" t="s">
        <v>75</v>
      </c>
      <c r="AI214" s="66" t="s">
        <v>95</v>
      </c>
      <c r="AJ214" s="94">
        <v>1</v>
      </c>
    </row>
    <row r="215" spans="1:36" x14ac:dyDescent="0.25">
      <c r="A215" s="70"/>
      <c r="B215" s="70"/>
      <c r="C215" s="70"/>
      <c r="D215" s="70"/>
      <c r="E215" s="70"/>
      <c r="F215" s="70"/>
      <c r="J215" s="65" t="s">
        <v>581</v>
      </c>
      <c r="K215" s="65" t="s">
        <v>171</v>
      </c>
      <c r="L215" s="65" t="s">
        <v>270</v>
      </c>
      <c r="M215" s="65" t="s">
        <v>136</v>
      </c>
      <c r="N215" s="65" t="s">
        <v>570</v>
      </c>
      <c r="O215" s="65" t="s">
        <v>219</v>
      </c>
      <c r="P215" s="65"/>
      <c r="Q215" s="65"/>
      <c r="R215" s="65">
        <f>Tabela393[[#This Row],[Atividade]]*Tabela393[[#This Row],[Quant.]]</f>
        <v>0</v>
      </c>
      <c r="S215" s="84"/>
      <c r="T215" s="70"/>
      <c r="X215" s="70"/>
      <c r="AB215" s="83"/>
      <c r="AC215" s="83"/>
      <c r="AD215" s="83"/>
      <c r="AE215" s="83"/>
      <c r="AF215" s="83"/>
      <c r="AG215" s="93" t="s">
        <v>463</v>
      </c>
      <c r="AH215" s="66" t="s">
        <v>75</v>
      </c>
      <c r="AI215" s="66" t="s">
        <v>96</v>
      </c>
      <c r="AJ215" s="94">
        <v>1</v>
      </c>
    </row>
    <row r="216" spans="1:36" x14ac:dyDescent="0.25">
      <c r="A216" s="70"/>
      <c r="B216" s="70"/>
      <c r="C216" s="70"/>
      <c r="D216" s="70"/>
      <c r="E216" s="70"/>
      <c r="F216" s="70"/>
      <c r="J216" s="65" t="s">
        <v>582</v>
      </c>
      <c r="K216" s="65" t="s">
        <v>171</v>
      </c>
      <c r="L216" s="65" t="s">
        <v>270</v>
      </c>
      <c r="M216" s="65" t="s">
        <v>136</v>
      </c>
      <c r="N216" s="65" t="s">
        <v>570</v>
      </c>
      <c r="O216" s="65" t="s">
        <v>223</v>
      </c>
      <c r="P216" s="65"/>
      <c r="Q216" s="65"/>
      <c r="R216" s="65">
        <f>Tabela393[[#This Row],[Atividade]]*Tabela393[[#This Row],[Quant.]]</f>
        <v>0</v>
      </c>
      <c r="S216" s="84"/>
      <c r="T216" s="70"/>
      <c r="X216" s="70"/>
      <c r="AB216" s="83"/>
      <c r="AC216" s="83"/>
      <c r="AD216" s="83"/>
      <c r="AE216" s="83"/>
      <c r="AF216" s="83"/>
      <c r="AG216" s="93" t="s">
        <v>463</v>
      </c>
      <c r="AH216" s="66" t="s">
        <v>77</v>
      </c>
      <c r="AI216" s="66" t="s">
        <v>583</v>
      </c>
      <c r="AJ216" s="94">
        <v>1</v>
      </c>
    </row>
    <row r="217" spans="1:36" x14ac:dyDescent="0.25">
      <c r="A217" s="70"/>
      <c r="B217" s="70"/>
      <c r="C217" s="70"/>
      <c r="D217" s="70"/>
      <c r="E217" s="70"/>
      <c r="F217" s="70"/>
      <c r="J217" s="65" t="s">
        <v>584</v>
      </c>
      <c r="K217" s="65" t="s">
        <v>171</v>
      </c>
      <c r="L217" s="65" t="s">
        <v>270</v>
      </c>
      <c r="M217" s="65" t="s">
        <v>136</v>
      </c>
      <c r="N217" s="65" t="s">
        <v>570</v>
      </c>
      <c r="O217" s="65" t="s">
        <v>226</v>
      </c>
      <c r="P217" s="65"/>
      <c r="Q217" s="65"/>
      <c r="R217" s="65">
        <f>Tabela393[[#This Row],[Atividade]]*Tabela393[[#This Row],[Quant.]]</f>
        <v>0</v>
      </c>
      <c r="S217" s="84"/>
      <c r="T217" s="70"/>
      <c r="X217" s="70"/>
      <c r="AB217" s="83"/>
      <c r="AC217" s="83"/>
      <c r="AD217" s="83"/>
      <c r="AE217" s="83"/>
      <c r="AF217" s="83"/>
      <c r="AG217" s="93" t="s">
        <v>463</v>
      </c>
      <c r="AH217" s="66" t="s">
        <v>77</v>
      </c>
      <c r="AI217" s="66" t="s">
        <v>486</v>
      </c>
      <c r="AJ217" s="94">
        <v>1</v>
      </c>
    </row>
    <row r="218" spans="1:36" x14ac:dyDescent="0.25">
      <c r="A218" s="70"/>
      <c r="B218" s="70"/>
      <c r="C218" s="70"/>
      <c r="D218" s="70"/>
      <c r="E218" s="70"/>
      <c r="F218" s="70"/>
      <c r="J218" s="65" t="s">
        <v>585</v>
      </c>
      <c r="K218" s="65" t="s">
        <v>171</v>
      </c>
      <c r="L218" s="65" t="s">
        <v>270</v>
      </c>
      <c r="M218" s="65" t="s">
        <v>136</v>
      </c>
      <c r="N218" s="65" t="s">
        <v>570</v>
      </c>
      <c r="O218" s="65" t="s">
        <v>230</v>
      </c>
      <c r="P218" s="65"/>
      <c r="Q218" s="65"/>
      <c r="R218" s="65">
        <f>Tabela393[[#This Row],[Atividade]]*Tabela393[[#This Row],[Quant.]]</f>
        <v>0</v>
      </c>
      <c r="S218" s="84"/>
      <c r="T218" s="70"/>
      <c r="X218" s="70"/>
      <c r="AB218" s="83"/>
      <c r="AC218" s="83"/>
      <c r="AD218" s="83"/>
      <c r="AE218" s="83"/>
      <c r="AF218" s="83"/>
      <c r="AG218" s="93" t="s">
        <v>463</v>
      </c>
      <c r="AH218" s="66" t="s">
        <v>36</v>
      </c>
      <c r="AI218" s="66" t="s">
        <v>97</v>
      </c>
      <c r="AJ218" s="94">
        <v>1</v>
      </c>
    </row>
    <row r="219" spans="1:36" x14ac:dyDescent="0.25">
      <c r="A219" s="70"/>
      <c r="B219" s="70"/>
      <c r="C219" s="70"/>
      <c r="D219" s="70"/>
      <c r="E219" s="70"/>
      <c r="F219" s="70"/>
      <c r="J219" s="65" t="s">
        <v>586</v>
      </c>
      <c r="K219" s="65" t="s">
        <v>171</v>
      </c>
      <c r="L219" s="65" t="s">
        <v>270</v>
      </c>
      <c r="M219" s="65" t="s">
        <v>136</v>
      </c>
      <c r="N219" s="65" t="s">
        <v>570</v>
      </c>
      <c r="O219" s="65" t="s">
        <v>260</v>
      </c>
      <c r="P219" s="65"/>
      <c r="Q219" s="65"/>
      <c r="R219" s="65">
        <f>Tabela393[[#This Row],[Atividade]]*Tabela393[[#This Row],[Quant.]]</f>
        <v>0</v>
      </c>
      <c r="S219" s="84"/>
      <c r="T219" s="70"/>
      <c r="X219" s="70"/>
      <c r="AB219" s="83"/>
      <c r="AC219" s="83"/>
      <c r="AD219" s="83"/>
      <c r="AE219" s="83"/>
      <c r="AF219" s="83"/>
      <c r="AG219" s="93" t="s">
        <v>463</v>
      </c>
      <c r="AH219" s="66" t="s">
        <v>36</v>
      </c>
      <c r="AI219" s="66" t="s">
        <v>98</v>
      </c>
      <c r="AJ219" s="94">
        <v>1</v>
      </c>
    </row>
    <row r="220" spans="1:36" x14ac:dyDescent="0.25">
      <c r="A220" s="70"/>
      <c r="B220" s="70"/>
      <c r="C220" s="70"/>
      <c r="D220" s="70"/>
      <c r="E220" s="70"/>
      <c r="F220" s="70"/>
      <c r="J220" s="65" t="s">
        <v>587</v>
      </c>
      <c r="K220" s="65" t="s">
        <v>171</v>
      </c>
      <c r="L220" s="65" t="s">
        <v>270</v>
      </c>
      <c r="M220" s="65" t="s">
        <v>136</v>
      </c>
      <c r="N220" s="65" t="s">
        <v>570</v>
      </c>
      <c r="O220" s="65" t="s">
        <v>262</v>
      </c>
      <c r="P220" s="65"/>
      <c r="Q220" s="65"/>
      <c r="R220" s="65">
        <f>Tabela393[[#This Row],[Atividade]]*Tabela393[[#This Row],[Quant.]]</f>
        <v>0</v>
      </c>
      <c r="S220" s="84"/>
      <c r="T220" s="70"/>
      <c r="X220" s="70"/>
      <c r="AB220" s="83"/>
      <c r="AC220" s="83"/>
      <c r="AD220" s="83"/>
      <c r="AE220" s="83"/>
      <c r="AF220" s="83"/>
      <c r="AG220" s="93" t="s">
        <v>463</v>
      </c>
      <c r="AH220" s="66" t="s">
        <v>36</v>
      </c>
      <c r="AI220" s="66" t="s">
        <v>78</v>
      </c>
      <c r="AJ220" s="94">
        <v>1</v>
      </c>
    </row>
    <row r="221" spans="1:36" x14ac:dyDescent="0.25">
      <c r="A221" s="70"/>
      <c r="B221" s="70"/>
      <c r="C221" s="70"/>
      <c r="D221" s="70"/>
      <c r="E221" s="70"/>
      <c r="F221" s="70"/>
      <c r="J221" s="65" t="s">
        <v>588</v>
      </c>
      <c r="K221" s="65" t="s">
        <v>171</v>
      </c>
      <c r="L221" s="65" t="s">
        <v>270</v>
      </c>
      <c r="M221" s="65" t="s">
        <v>136</v>
      </c>
      <c r="N221" s="65" t="s">
        <v>570</v>
      </c>
      <c r="O221" s="65" t="s">
        <v>264</v>
      </c>
      <c r="P221" s="65"/>
      <c r="Q221" s="65"/>
      <c r="R221" s="65">
        <f>Tabela393[[#This Row],[Atividade]]*Tabela393[[#This Row],[Quant.]]</f>
        <v>0</v>
      </c>
      <c r="S221" s="84"/>
      <c r="T221" s="70"/>
      <c r="X221" s="70"/>
      <c r="AB221" s="83"/>
      <c r="AC221" s="83"/>
      <c r="AD221" s="83"/>
      <c r="AE221" s="83"/>
      <c r="AF221" s="83"/>
      <c r="AG221" s="93" t="s">
        <v>463</v>
      </c>
      <c r="AH221" s="66" t="s">
        <v>589</v>
      </c>
      <c r="AI221" s="66" t="s">
        <v>303</v>
      </c>
      <c r="AJ221" s="94">
        <v>1</v>
      </c>
    </row>
    <row r="222" spans="1:36" x14ac:dyDescent="0.25">
      <c r="A222" s="70"/>
      <c r="B222" s="70"/>
      <c r="C222" s="70"/>
      <c r="D222" s="70"/>
      <c r="E222" s="70"/>
      <c r="F222" s="70"/>
      <c r="J222" s="65" t="s">
        <v>590</v>
      </c>
      <c r="K222" s="65" t="s">
        <v>171</v>
      </c>
      <c r="L222" s="65" t="s">
        <v>270</v>
      </c>
      <c r="M222" s="65" t="s">
        <v>136</v>
      </c>
      <c r="N222" s="65" t="s">
        <v>570</v>
      </c>
      <c r="O222" s="65" t="s">
        <v>266</v>
      </c>
      <c r="P222" s="65"/>
      <c r="Q222" s="65"/>
      <c r="R222" s="65">
        <f>Tabela393[[#This Row],[Atividade]]*Tabela393[[#This Row],[Quant.]]</f>
        <v>0</v>
      </c>
      <c r="S222" s="84"/>
      <c r="T222" s="70"/>
      <c r="X222" s="70"/>
      <c r="AB222" s="83"/>
      <c r="AC222" s="83"/>
      <c r="AD222" s="83"/>
      <c r="AE222" s="83"/>
      <c r="AF222" s="83"/>
      <c r="AG222" s="93" t="s">
        <v>463</v>
      </c>
      <c r="AH222" s="66" t="s">
        <v>589</v>
      </c>
      <c r="AI222" s="66" t="s">
        <v>300</v>
      </c>
      <c r="AJ222" s="94">
        <v>1</v>
      </c>
    </row>
    <row r="223" spans="1:36" x14ac:dyDescent="0.25">
      <c r="A223" s="70"/>
      <c r="B223" s="70"/>
      <c r="C223" s="70"/>
      <c r="D223" s="70"/>
      <c r="E223" s="70"/>
      <c r="F223" s="70"/>
      <c r="J223" s="65" t="s">
        <v>591</v>
      </c>
      <c r="K223" s="65" t="s">
        <v>171</v>
      </c>
      <c r="L223" s="65" t="s">
        <v>270</v>
      </c>
      <c r="M223" s="65" t="s">
        <v>136</v>
      </c>
      <c r="N223" s="65" t="s">
        <v>570</v>
      </c>
      <c r="O223" s="65" t="s">
        <v>268</v>
      </c>
      <c r="P223" s="65"/>
      <c r="Q223" s="65"/>
      <c r="R223" s="65">
        <f>Tabela393[[#This Row],[Atividade]]*Tabela393[[#This Row],[Quant.]]</f>
        <v>0</v>
      </c>
      <c r="S223" s="84"/>
      <c r="T223" s="70"/>
      <c r="X223" s="70"/>
      <c r="AB223" s="83"/>
      <c r="AC223" s="83"/>
      <c r="AD223" s="83"/>
      <c r="AE223" s="83"/>
      <c r="AF223" s="83"/>
      <c r="AG223" s="93" t="s">
        <v>463</v>
      </c>
      <c r="AH223" s="66" t="s">
        <v>589</v>
      </c>
      <c r="AI223" s="66" t="s">
        <v>80</v>
      </c>
      <c r="AJ223" s="94">
        <v>1</v>
      </c>
    </row>
    <row r="224" spans="1:36" x14ac:dyDescent="0.25">
      <c r="A224" s="70"/>
      <c r="B224" s="70"/>
      <c r="C224" s="70"/>
      <c r="D224" s="70"/>
      <c r="E224" s="70"/>
      <c r="F224" s="70"/>
      <c r="J224" s="65" t="s">
        <v>592</v>
      </c>
      <c r="K224" s="65" t="s">
        <v>134</v>
      </c>
      <c r="L224" s="65" t="s">
        <v>135</v>
      </c>
      <c r="M224" s="65" t="s">
        <v>136</v>
      </c>
      <c r="N224" s="65" t="s">
        <v>593</v>
      </c>
      <c r="O224" s="65" t="s">
        <v>138</v>
      </c>
      <c r="P224" s="65"/>
      <c r="Q224" s="65"/>
      <c r="R224" s="65">
        <f>Tabela393[[#This Row],[Atividade]]*Tabela393[[#This Row],[Quant.]]</f>
        <v>0</v>
      </c>
      <c r="S224" s="84"/>
      <c r="T224" s="70"/>
      <c r="X224" s="70"/>
      <c r="AB224" s="83"/>
      <c r="AC224" s="83"/>
      <c r="AD224" s="83"/>
      <c r="AE224" s="83"/>
      <c r="AF224" s="83"/>
      <c r="AG224" s="93" t="s">
        <v>463</v>
      </c>
      <c r="AH224" s="66" t="s">
        <v>589</v>
      </c>
      <c r="AI224" s="66" t="s">
        <v>81</v>
      </c>
      <c r="AJ224" s="94">
        <v>1</v>
      </c>
    </row>
    <row r="225" spans="1:36" x14ac:dyDescent="0.25">
      <c r="A225" s="70"/>
      <c r="B225" s="70"/>
      <c r="C225" s="70"/>
      <c r="D225" s="70"/>
      <c r="E225" s="70"/>
      <c r="F225" s="70"/>
      <c r="J225" s="65" t="s">
        <v>594</v>
      </c>
      <c r="K225" s="65" t="s">
        <v>134</v>
      </c>
      <c r="L225" s="65" t="s">
        <v>135</v>
      </c>
      <c r="M225" s="65" t="s">
        <v>136</v>
      </c>
      <c r="N225" s="65" t="s">
        <v>593</v>
      </c>
      <c r="O225" s="65" t="s">
        <v>152</v>
      </c>
      <c r="P225" s="65"/>
      <c r="Q225" s="65"/>
      <c r="R225" s="65">
        <f>Tabela393[[#This Row],[Atividade]]*Tabela393[[#This Row],[Quant.]]</f>
        <v>0</v>
      </c>
      <c r="S225" s="84"/>
      <c r="T225" s="70"/>
      <c r="X225" s="70"/>
      <c r="AB225" s="83"/>
      <c r="AC225" s="83"/>
      <c r="AD225" s="83"/>
      <c r="AE225" s="83"/>
      <c r="AF225" s="83"/>
      <c r="AG225" s="93" t="s">
        <v>463</v>
      </c>
      <c r="AH225" s="66" t="s">
        <v>589</v>
      </c>
      <c r="AI225" s="66" t="s">
        <v>79</v>
      </c>
      <c r="AJ225" s="94">
        <v>1</v>
      </c>
    </row>
    <row r="226" spans="1:36" x14ac:dyDescent="0.25">
      <c r="A226" s="70"/>
      <c r="B226" s="70"/>
      <c r="C226" s="70"/>
      <c r="D226" s="70"/>
      <c r="E226" s="70"/>
      <c r="F226" s="70"/>
      <c r="J226" s="65" t="s">
        <v>595</v>
      </c>
      <c r="K226" s="65" t="s">
        <v>134</v>
      </c>
      <c r="L226" s="65" t="s">
        <v>135</v>
      </c>
      <c r="M226" s="65" t="s">
        <v>136</v>
      </c>
      <c r="N226" s="65" t="s">
        <v>593</v>
      </c>
      <c r="O226" s="65" t="s">
        <v>161</v>
      </c>
      <c r="P226" s="65"/>
      <c r="Q226" s="65"/>
      <c r="R226" s="65">
        <f>Tabela393[[#This Row],[Atividade]]*Tabela393[[#This Row],[Quant.]]</f>
        <v>0</v>
      </c>
      <c r="S226" s="84"/>
      <c r="T226" s="70"/>
      <c r="X226" s="70"/>
      <c r="AB226" s="83"/>
      <c r="AC226" s="83"/>
      <c r="AD226" s="83"/>
      <c r="AE226" s="83"/>
      <c r="AF226" s="83"/>
      <c r="AG226" s="93" t="s">
        <v>463</v>
      </c>
      <c r="AH226" s="66" t="s">
        <v>589</v>
      </c>
      <c r="AI226" s="66" t="s">
        <v>82</v>
      </c>
      <c r="AJ226" s="94">
        <v>1</v>
      </c>
    </row>
    <row r="227" spans="1:36" x14ac:dyDescent="0.25">
      <c r="A227" s="70"/>
      <c r="B227" s="70"/>
      <c r="C227" s="70"/>
      <c r="D227" s="70"/>
      <c r="E227" s="70"/>
      <c r="F227" s="70"/>
      <c r="J227" s="65" t="s">
        <v>596</v>
      </c>
      <c r="K227" s="65" t="s">
        <v>134</v>
      </c>
      <c r="L227" s="65" t="s">
        <v>135</v>
      </c>
      <c r="M227" s="65" t="s">
        <v>136</v>
      </c>
      <c r="N227" s="65" t="s">
        <v>593</v>
      </c>
      <c r="O227" s="65" t="s">
        <v>172</v>
      </c>
      <c r="P227" s="65"/>
      <c r="Q227" s="65"/>
      <c r="R227" s="65">
        <f>Tabela393[[#This Row],[Atividade]]*Tabela393[[#This Row],[Quant.]]</f>
        <v>0</v>
      </c>
      <c r="S227" s="84"/>
      <c r="T227" s="70"/>
      <c r="X227" s="70"/>
      <c r="AB227" s="83"/>
      <c r="AC227" s="83"/>
      <c r="AD227" s="83"/>
      <c r="AE227" s="83"/>
      <c r="AF227" s="83"/>
      <c r="AG227" s="93" t="s">
        <v>463</v>
      </c>
      <c r="AH227" s="66" t="s">
        <v>589</v>
      </c>
      <c r="AI227" s="66" t="s">
        <v>83</v>
      </c>
      <c r="AJ227" s="94">
        <v>1</v>
      </c>
    </row>
    <row r="228" spans="1:36" x14ac:dyDescent="0.25">
      <c r="A228" s="70"/>
      <c r="B228" s="70"/>
      <c r="C228" s="70"/>
      <c r="D228" s="70"/>
      <c r="E228" s="70"/>
      <c r="F228" s="70"/>
      <c r="J228" s="65" t="s">
        <v>597</v>
      </c>
      <c r="K228" s="65" t="s">
        <v>134</v>
      </c>
      <c r="L228" s="65" t="s">
        <v>135</v>
      </c>
      <c r="M228" s="65" t="s">
        <v>136</v>
      </c>
      <c r="N228" s="65" t="s">
        <v>593</v>
      </c>
      <c r="O228" s="65" t="s">
        <v>180</v>
      </c>
      <c r="P228" s="65"/>
      <c r="Q228" s="65"/>
      <c r="R228" s="65">
        <f>Tabela393[[#This Row],[Atividade]]*Tabela393[[#This Row],[Quant.]]</f>
        <v>0</v>
      </c>
      <c r="S228" s="84"/>
      <c r="T228" s="70"/>
      <c r="X228" s="70"/>
      <c r="AB228" s="83"/>
      <c r="AC228" s="83"/>
      <c r="AD228" s="83"/>
      <c r="AE228" s="83"/>
      <c r="AF228" s="83"/>
      <c r="AG228" s="93" t="s">
        <v>463</v>
      </c>
      <c r="AH228" s="66" t="s">
        <v>589</v>
      </c>
      <c r="AI228" s="66" t="s">
        <v>84</v>
      </c>
      <c r="AJ228" s="94">
        <v>1</v>
      </c>
    </row>
    <row r="229" spans="1:36" x14ac:dyDescent="0.25">
      <c r="A229" s="70"/>
      <c r="B229" s="70"/>
      <c r="C229" s="70"/>
      <c r="D229" s="70"/>
      <c r="E229" s="70"/>
      <c r="F229" s="70"/>
      <c r="J229" s="65" t="s">
        <v>598</v>
      </c>
      <c r="K229" s="65" t="s">
        <v>134</v>
      </c>
      <c r="L229" s="65" t="s">
        <v>135</v>
      </c>
      <c r="M229" s="65" t="s">
        <v>136</v>
      </c>
      <c r="N229" s="65" t="s">
        <v>593</v>
      </c>
      <c r="O229" s="65" t="s">
        <v>188</v>
      </c>
      <c r="P229" s="65"/>
      <c r="Q229" s="65"/>
      <c r="R229" s="65">
        <f>Tabela393[[#This Row],[Atividade]]*Tabela393[[#This Row],[Quant.]]</f>
        <v>0</v>
      </c>
      <c r="S229" s="84"/>
      <c r="T229" s="70"/>
      <c r="X229" s="70"/>
      <c r="AB229" s="83"/>
      <c r="AC229" s="83"/>
      <c r="AD229" s="83"/>
      <c r="AE229" s="83"/>
      <c r="AF229" s="83"/>
      <c r="AG229" s="93" t="s">
        <v>463</v>
      </c>
      <c r="AH229" s="66" t="s">
        <v>589</v>
      </c>
      <c r="AI229" s="66" t="s">
        <v>85</v>
      </c>
      <c r="AJ229" s="94">
        <v>1</v>
      </c>
    </row>
    <row r="230" spans="1:36" x14ac:dyDescent="0.25">
      <c r="A230" s="70"/>
      <c r="B230" s="70"/>
      <c r="C230" s="70"/>
      <c r="D230" s="70"/>
      <c r="E230" s="70"/>
      <c r="F230" s="70"/>
      <c r="J230" s="65" t="s">
        <v>599</v>
      </c>
      <c r="K230" s="65" t="s">
        <v>134</v>
      </c>
      <c r="L230" s="65" t="s">
        <v>135</v>
      </c>
      <c r="M230" s="65" t="s">
        <v>136</v>
      </c>
      <c r="N230" s="65" t="s">
        <v>593</v>
      </c>
      <c r="O230" s="65" t="s">
        <v>195</v>
      </c>
      <c r="P230" s="65"/>
      <c r="Q230" s="65"/>
      <c r="R230" s="65">
        <f>Tabela393[[#This Row],[Atividade]]*Tabela393[[#This Row],[Quant.]]</f>
        <v>0</v>
      </c>
      <c r="S230" s="84"/>
      <c r="T230" s="70"/>
      <c r="X230" s="70"/>
      <c r="AB230" s="83"/>
      <c r="AC230" s="83"/>
      <c r="AD230" s="83"/>
      <c r="AE230" s="83"/>
      <c r="AF230" s="83"/>
      <c r="AG230" s="93" t="s">
        <v>463</v>
      </c>
      <c r="AH230" s="66" t="s">
        <v>589</v>
      </c>
      <c r="AI230" s="66" t="s">
        <v>86</v>
      </c>
      <c r="AJ230" s="94">
        <v>1</v>
      </c>
    </row>
    <row r="231" spans="1:36" x14ac:dyDescent="0.25">
      <c r="A231" s="70"/>
      <c r="B231" s="70"/>
      <c r="C231" s="70"/>
      <c r="D231" s="70"/>
      <c r="E231" s="70"/>
      <c r="F231" s="70"/>
      <c r="J231" s="65" t="s">
        <v>600</v>
      </c>
      <c r="K231" s="65" t="s">
        <v>134</v>
      </c>
      <c r="L231" s="65" t="s">
        <v>135</v>
      </c>
      <c r="M231" s="65" t="s">
        <v>136</v>
      </c>
      <c r="N231" s="65" t="s">
        <v>593</v>
      </c>
      <c r="O231" s="65" t="s">
        <v>200</v>
      </c>
      <c r="P231" s="65"/>
      <c r="Q231" s="65"/>
      <c r="R231" s="65">
        <f>Tabela393[[#This Row],[Atividade]]*Tabela393[[#This Row],[Quant.]]</f>
        <v>0</v>
      </c>
      <c r="S231" s="84"/>
      <c r="T231" s="70"/>
      <c r="X231" s="70"/>
      <c r="AB231" s="83"/>
      <c r="AC231" s="83"/>
      <c r="AD231" s="83"/>
      <c r="AE231" s="83"/>
      <c r="AF231" s="83"/>
      <c r="AG231" s="93" t="s">
        <v>463</v>
      </c>
      <c r="AH231" s="66" t="s">
        <v>589</v>
      </c>
      <c r="AI231" s="66" t="s">
        <v>87</v>
      </c>
      <c r="AJ231" s="94">
        <v>1</v>
      </c>
    </row>
    <row r="232" spans="1:36" x14ac:dyDescent="0.25">
      <c r="A232" s="70"/>
      <c r="B232" s="70"/>
      <c r="C232" s="70"/>
      <c r="D232" s="70"/>
      <c r="E232" s="70"/>
      <c r="F232" s="70"/>
      <c r="J232" s="65" t="s">
        <v>601</v>
      </c>
      <c r="K232" s="65" t="s">
        <v>134</v>
      </c>
      <c r="L232" s="65" t="s">
        <v>135</v>
      </c>
      <c r="M232" s="65" t="s">
        <v>136</v>
      </c>
      <c r="N232" s="65" t="s">
        <v>593</v>
      </c>
      <c r="O232" s="65" t="s">
        <v>204</v>
      </c>
      <c r="P232" s="65"/>
      <c r="Q232" s="65"/>
      <c r="R232" s="65">
        <f>Tabela393[[#This Row],[Atividade]]*Tabela393[[#This Row],[Quant.]]</f>
        <v>0</v>
      </c>
      <c r="S232" s="84"/>
      <c r="T232" s="70"/>
      <c r="X232" s="70"/>
      <c r="AB232" s="83"/>
      <c r="AC232" s="83"/>
      <c r="AD232" s="83"/>
      <c r="AE232" s="83"/>
      <c r="AF232" s="83"/>
      <c r="AG232" s="93" t="s">
        <v>463</v>
      </c>
      <c r="AH232" s="66" t="s">
        <v>589</v>
      </c>
      <c r="AI232" s="66" t="s">
        <v>88</v>
      </c>
      <c r="AJ232" s="94">
        <v>1</v>
      </c>
    </row>
    <row r="233" spans="1:36" x14ac:dyDescent="0.25">
      <c r="A233" s="70"/>
      <c r="B233" s="70"/>
      <c r="C233" s="70"/>
      <c r="D233" s="70"/>
      <c r="E233" s="70"/>
      <c r="F233" s="70"/>
      <c r="J233" s="65" t="s">
        <v>602</v>
      </c>
      <c r="K233" s="65" t="s">
        <v>134</v>
      </c>
      <c r="L233" s="65" t="s">
        <v>135</v>
      </c>
      <c r="M233" s="65" t="s">
        <v>136</v>
      </c>
      <c r="N233" s="65" t="s">
        <v>593</v>
      </c>
      <c r="O233" s="65" t="s">
        <v>210</v>
      </c>
      <c r="P233" s="65"/>
      <c r="Q233" s="65"/>
      <c r="R233" s="65">
        <f>Tabela393[[#This Row],[Atividade]]*Tabela393[[#This Row],[Quant.]]</f>
        <v>0</v>
      </c>
      <c r="S233" s="84"/>
      <c r="T233" s="70"/>
      <c r="X233" s="70"/>
      <c r="AB233" s="83"/>
      <c r="AC233" s="83"/>
      <c r="AD233" s="83"/>
      <c r="AE233" s="83"/>
      <c r="AF233" s="83"/>
      <c r="AG233" s="93" t="s">
        <v>463</v>
      </c>
      <c r="AH233" s="66" t="s">
        <v>589</v>
      </c>
      <c r="AI233" s="66" t="s">
        <v>89</v>
      </c>
      <c r="AJ233" s="94">
        <v>1</v>
      </c>
    </row>
    <row r="234" spans="1:36" x14ac:dyDescent="0.25">
      <c r="A234" s="70"/>
      <c r="B234" s="70"/>
      <c r="C234" s="70"/>
      <c r="D234" s="70"/>
      <c r="E234" s="70"/>
      <c r="F234" s="70"/>
      <c r="J234" s="65" t="s">
        <v>603</v>
      </c>
      <c r="K234" s="65" t="s">
        <v>171</v>
      </c>
      <c r="L234" s="65" t="s">
        <v>135</v>
      </c>
      <c r="M234" s="65" t="s">
        <v>136</v>
      </c>
      <c r="N234" s="65" t="s">
        <v>593</v>
      </c>
      <c r="O234" s="65" t="s">
        <v>215</v>
      </c>
      <c r="P234" s="65"/>
      <c r="Q234" s="65"/>
      <c r="R234" s="65">
        <f>Tabela393[[#This Row],[Atividade]]*Tabela393[[#This Row],[Quant.]]</f>
        <v>0</v>
      </c>
      <c r="S234" s="84"/>
      <c r="T234" s="70"/>
      <c r="X234" s="70"/>
      <c r="AB234" s="83"/>
      <c r="AC234" s="83"/>
      <c r="AD234" s="83"/>
      <c r="AE234" s="83"/>
      <c r="AF234" s="83"/>
      <c r="AG234" s="93" t="s">
        <v>463</v>
      </c>
      <c r="AH234" s="66" t="s">
        <v>589</v>
      </c>
      <c r="AI234" s="66" t="s">
        <v>90</v>
      </c>
      <c r="AJ234" s="94">
        <v>1</v>
      </c>
    </row>
    <row r="235" spans="1:36" x14ac:dyDescent="0.25">
      <c r="A235" s="70"/>
      <c r="B235" s="70"/>
      <c r="C235" s="70"/>
      <c r="D235" s="70"/>
      <c r="E235" s="70"/>
      <c r="F235" s="70"/>
      <c r="J235" s="65" t="s">
        <v>604</v>
      </c>
      <c r="K235" s="65" t="s">
        <v>171</v>
      </c>
      <c r="L235" s="65" t="s">
        <v>135</v>
      </c>
      <c r="M235" s="65" t="s">
        <v>136</v>
      </c>
      <c r="N235" s="65" t="s">
        <v>593</v>
      </c>
      <c r="O235" s="65" t="s">
        <v>219</v>
      </c>
      <c r="P235" s="65"/>
      <c r="Q235" s="65"/>
      <c r="R235" s="65">
        <f>Tabela393[[#This Row],[Atividade]]*Tabela393[[#This Row],[Quant.]]</f>
        <v>0</v>
      </c>
      <c r="S235" s="84"/>
      <c r="T235" s="70"/>
      <c r="X235" s="70"/>
      <c r="AB235" s="83"/>
      <c r="AC235" s="83"/>
      <c r="AD235" s="83"/>
      <c r="AE235" s="83"/>
      <c r="AF235" s="83"/>
      <c r="AG235" s="93" t="s">
        <v>463</v>
      </c>
      <c r="AH235" s="66" t="s">
        <v>589</v>
      </c>
      <c r="AI235" s="66" t="s">
        <v>91</v>
      </c>
      <c r="AJ235" s="94">
        <v>1</v>
      </c>
    </row>
    <row r="236" spans="1:36" x14ac:dyDescent="0.25">
      <c r="A236" s="70"/>
      <c r="B236" s="70"/>
      <c r="C236" s="70"/>
      <c r="D236" s="70"/>
      <c r="E236" s="70"/>
      <c r="F236" s="70"/>
      <c r="J236" s="65" t="s">
        <v>605</v>
      </c>
      <c r="K236" s="65" t="s">
        <v>171</v>
      </c>
      <c r="L236" s="65" t="s">
        <v>135</v>
      </c>
      <c r="M236" s="65" t="s">
        <v>136</v>
      </c>
      <c r="N236" s="65" t="s">
        <v>593</v>
      </c>
      <c r="O236" s="65" t="s">
        <v>223</v>
      </c>
      <c r="P236" s="65"/>
      <c r="Q236" s="65"/>
      <c r="R236" s="65">
        <f>Tabela393[[#This Row],[Atividade]]*Tabela393[[#This Row],[Quant.]]</f>
        <v>0</v>
      </c>
      <c r="S236" s="84"/>
      <c r="T236" s="70"/>
      <c r="X236" s="70"/>
      <c r="AB236" s="83"/>
      <c r="AC236" s="83"/>
      <c r="AD236" s="83"/>
      <c r="AE236" s="83"/>
      <c r="AF236" s="83"/>
      <c r="AG236" s="93" t="s">
        <v>463</v>
      </c>
      <c r="AH236" s="66" t="s">
        <v>606</v>
      </c>
      <c r="AI236" s="66" t="s">
        <v>303</v>
      </c>
      <c r="AJ236" s="94">
        <v>1</v>
      </c>
    </row>
    <row r="237" spans="1:36" x14ac:dyDescent="0.25">
      <c r="A237" s="70"/>
      <c r="B237" s="70"/>
      <c r="C237" s="70"/>
      <c r="D237" s="70"/>
      <c r="E237" s="70"/>
      <c r="F237" s="70"/>
      <c r="J237" s="65" t="s">
        <v>607</v>
      </c>
      <c r="K237" s="65" t="s">
        <v>171</v>
      </c>
      <c r="L237" s="65" t="s">
        <v>135</v>
      </c>
      <c r="M237" s="65" t="s">
        <v>136</v>
      </c>
      <c r="N237" s="65" t="s">
        <v>593</v>
      </c>
      <c r="O237" s="65" t="s">
        <v>226</v>
      </c>
      <c r="P237" s="65"/>
      <c r="Q237" s="65"/>
      <c r="R237" s="65">
        <f>Tabela393[[#This Row],[Atividade]]*Tabela393[[#This Row],[Quant.]]</f>
        <v>0</v>
      </c>
      <c r="S237" s="84"/>
      <c r="T237" s="70"/>
      <c r="X237" s="70"/>
      <c r="AB237" s="83"/>
      <c r="AC237" s="83"/>
      <c r="AD237" s="83"/>
      <c r="AE237" s="83"/>
      <c r="AF237" s="83"/>
      <c r="AG237" s="93" t="s">
        <v>463</v>
      </c>
      <c r="AH237" s="66" t="s">
        <v>606</v>
      </c>
      <c r="AI237" s="66" t="s">
        <v>300</v>
      </c>
      <c r="AJ237" s="94">
        <v>1</v>
      </c>
    </row>
    <row r="238" spans="1:36" x14ac:dyDescent="0.25">
      <c r="A238" s="70"/>
      <c r="B238" s="70"/>
      <c r="C238" s="70"/>
      <c r="D238" s="70"/>
      <c r="E238" s="70"/>
      <c r="F238" s="70"/>
      <c r="J238" s="65" t="s">
        <v>608</v>
      </c>
      <c r="K238" s="65" t="s">
        <v>171</v>
      </c>
      <c r="L238" s="65" t="s">
        <v>135</v>
      </c>
      <c r="M238" s="65" t="s">
        <v>136</v>
      </c>
      <c r="N238" s="65" t="s">
        <v>593</v>
      </c>
      <c r="O238" s="65" t="s">
        <v>230</v>
      </c>
      <c r="P238" s="65"/>
      <c r="Q238" s="65"/>
      <c r="R238" s="65">
        <f>Tabela393[[#This Row],[Atividade]]*Tabela393[[#This Row],[Quant.]]</f>
        <v>0</v>
      </c>
      <c r="S238" s="84"/>
      <c r="T238" s="70"/>
      <c r="X238" s="70"/>
      <c r="AB238" s="83"/>
      <c r="AC238" s="83"/>
      <c r="AD238" s="83"/>
      <c r="AE238" s="83"/>
      <c r="AF238" s="83"/>
      <c r="AG238" s="93" t="s">
        <v>463</v>
      </c>
      <c r="AH238" s="66" t="s">
        <v>606</v>
      </c>
      <c r="AI238" s="66" t="s">
        <v>80</v>
      </c>
      <c r="AJ238" s="94">
        <v>1</v>
      </c>
    </row>
    <row r="239" spans="1:36" x14ac:dyDescent="0.25">
      <c r="A239" s="70"/>
      <c r="B239" s="70"/>
      <c r="C239" s="70"/>
      <c r="D239" s="70"/>
      <c r="E239" s="70"/>
      <c r="F239" s="70"/>
      <c r="J239" s="65" t="s">
        <v>609</v>
      </c>
      <c r="K239" s="65" t="s">
        <v>171</v>
      </c>
      <c r="L239" s="65" t="s">
        <v>135</v>
      </c>
      <c r="M239" s="65" t="s">
        <v>136</v>
      </c>
      <c r="N239" s="65" t="s">
        <v>593</v>
      </c>
      <c r="O239" s="65" t="s">
        <v>260</v>
      </c>
      <c r="P239" s="65"/>
      <c r="Q239" s="65"/>
      <c r="R239" s="65">
        <f>Tabela393[[#This Row],[Atividade]]*Tabela393[[#This Row],[Quant.]]</f>
        <v>0</v>
      </c>
      <c r="S239" s="84"/>
      <c r="T239" s="70"/>
      <c r="X239" s="70"/>
      <c r="AB239" s="83"/>
      <c r="AC239" s="83"/>
      <c r="AD239" s="83"/>
      <c r="AE239" s="83"/>
      <c r="AF239" s="83"/>
      <c r="AG239" s="93" t="s">
        <v>463</v>
      </c>
      <c r="AH239" s="66" t="s">
        <v>606</v>
      </c>
      <c r="AI239" s="66" t="s">
        <v>81</v>
      </c>
      <c r="AJ239" s="94">
        <v>1</v>
      </c>
    </row>
    <row r="240" spans="1:36" x14ac:dyDescent="0.25">
      <c r="A240" s="70"/>
      <c r="B240" s="70"/>
      <c r="C240" s="70"/>
      <c r="D240" s="70"/>
      <c r="E240" s="70"/>
      <c r="F240" s="70"/>
      <c r="J240" s="65" t="s">
        <v>610</v>
      </c>
      <c r="K240" s="65" t="s">
        <v>171</v>
      </c>
      <c r="L240" s="65" t="s">
        <v>135</v>
      </c>
      <c r="M240" s="65" t="s">
        <v>136</v>
      </c>
      <c r="N240" s="65" t="s">
        <v>593</v>
      </c>
      <c r="O240" s="65" t="s">
        <v>262</v>
      </c>
      <c r="P240" s="65"/>
      <c r="Q240" s="65"/>
      <c r="R240" s="65">
        <f>Tabela393[[#This Row],[Atividade]]*Tabela393[[#This Row],[Quant.]]</f>
        <v>0</v>
      </c>
      <c r="S240" s="84"/>
      <c r="T240" s="70"/>
      <c r="X240" s="70"/>
      <c r="AB240" s="83"/>
      <c r="AC240" s="83"/>
      <c r="AD240" s="83"/>
      <c r="AE240" s="83"/>
      <c r="AF240" s="83"/>
      <c r="AG240" s="93" t="s">
        <v>463</v>
      </c>
      <c r="AH240" s="66" t="s">
        <v>606</v>
      </c>
      <c r="AI240" s="66" t="s">
        <v>79</v>
      </c>
      <c r="AJ240" s="94">
        <v>1</v>
      </c>
    </row>
    <row r="241" spans="1:36" x14ac:dyDescent="0.25">
      <c r="A241" s="70"/>
      <c r="B241" s="70"/>
      <c r="C241" s="70"/>
      <c r="D241" s="70"/>
      <c r="E241" s="70"/>
      <c r="F241" s="70"/>
      <c r="J241" s="65" t="s">
        <v>611</v>
      </c>
      <c r="K241" s="65" t="s">
        <v>171</v>
      </c>
      <c r="L241" s="65" t="s">
        <v>135</v>
      </c>
      <c r="M241" s="65" t="s">
        <v>136</v>
      </c>
      <c r="N241" s="65" t="s">
        <v>593</v>
      </c>
      <c r="O241" s="65" t="s">
        <v>264</v>
      </c>
      <c r="P241" s="65"/>
      <c r="Q241" s="65"/>
      <c r="R241" s="65">
        <f>Tabela393[[#This Row],[Atividade]]*Tabela393[[#This Row],[Quant.]]</f>
        <v>0</v>
      </c>
      <c r="S241" s="84"/>
      <c r="T241" s="70"/>
      <c r="X241" s="70"/>
      <c r="AB241" s="83"/>
      <c r="AC241" s="83"/>
      <c r="AD241" s="83"/>
      <c r="AE241" s="83"/>
      <c r="AF241" s="83"/>
      <c r="AG241" s="93" t="s">
        <v>463</v>
      </c>
      <c r="AH241" s="66" t="s">
        <v>606</v>
      </c>
      <c r="AI241" s="66" t="s">
        <v>82</v>
      </c>
      <c r="AJ241" s="94">
        <v>1</v>
      </c>
    </row>
    <row r="242" spans="1:36" x14ac:dyDescent="0.25">
      <c r="A242" s="70"/>
      <c r="B242" s="70"/>
      <c r="C242" s="70"/>
      <c r="D242" s="70"/>
      <c r="E242" s="70"/>
      <c r="F242" s="70"/>
      <c r="J242" s="65" t="s">
        <v>612</v>
      </c>
      <c r="K242" s="65" t="s">
        <v>171</v>
      </c>
      <c r="L242" s="65" t="s">
        <v>135</v>
      </c>
      <c r="M242" s="65" t="s">
        <v>136</v>
      </c>
      <c r="N242" s="65" t="s">
        <v>593</v>
      </c>
      <c r="O242" s="65" t="s">
        <v>266</v>
      </c>
      <c r="P242" s="65"/>
      <c r="Q242" s="65"/>
      <c r="R242" s="65">
        <f>Tabela393[[#This Row],[Atividade]]*Tabela393[[#This Row],[Quant.]]</f>
        <v>0</v>
      </c>
      <c r="S242" s="84"/>
      <c r="T242" s="70"/>
      <c r="X242" s="70"/>
      <c r="AB242" s="83"/>
      <c r="AC242" s="83"/>
      <c r="AD242" s="83"/>
      <c r="AE242" s="83"/>
      <c r="AF242" s="83"/>
      <c r="AG242" s="93" t="s">
        <v>463</v>
      </c>
      <c r="AH242" s="66" t="s">
        <v>606</v>
      </c>
      <c r="AI242" s="66" t="s">
        <v>83</v>
      </c>
      <c r="AJ242" s="94">
        <v>1</v>
      </c>
    </row>
    <row r="243" spans="1:36" x14ac:dyDescent="0.25">
      <c r="A243" s="70"/>
      <c r="B243" s="70"/>
      <c r="C243" s="70"/>
      <c r="D243" s="70"/>
      <c r="E243" s="70"/>
      <c r="F243" s="70"/>
      <c r="J243" s="65" t="s">
        <v>613</v>
      </c>
      <c r="K243" s="65" t="s">
        <v>171</v>
      </c>
      <c r="L243" s="65" t="s">
        <v>135</v>
      </c>
      <c r="M243" s="65" t="s">
        <v>136</v>
      </c>
      <c r="N243" s="65" t="s">
        <v>593</v>
      </c>
      <c r="O243" s="65" t="s">
        <v>268</v>
      </c>
      <c r="P243" s="65"/>
      <c r="Q243" s="65"/>
      <c r="R243" s="65">
        <f>Tabela393[[#This Row],[Atividade]]*Tabela393[[#This Row],[Quant.]]</f>
        <v>0</v>
      </c>
      <c r="S243" s="84"/>
      <c r="T243" s="70"/>
      <c r="X243" s="70"/>
      <c r="AB243" s="83"/>
      <c r="AC243" s="83"/>
      <c r="AD243" s="83"/>
      <c r="AE243" s="83"/>
      <c r="AF243" s="83"/>
      <c r="AG243" s="93" t="s">
        <v>463</v>
      </c>
      <c r="AH243" s="66" t="s">
        <v>606</v>
      </c>
      <c r="AI243" s="66" t="s">
        <v>84</v>
      </c>
      <c r="AJ243" s="94">
        <v>1</v>
      </c>
    </row>
    <row r="244" spans="1:36" x14ac:dyDescent="0.25">
      <c r="A244" s="70"/>
      <c r="B244" s="70"/>
      <c r="C244" s="70"/>
      <c r="D244" s="70"/>
      <c r="E244" s="70"/>
      <c r="F244" s="70"/>
      <c r="J244" s="65" t="s">
        <v>614</v>
      </c>
      <c r="K244" s="65" t="s">
        <v>134</v>
      </c>
      <c r="L244" s="65" t="s">
        <v>270</v>
      </c>
      <c r="M244" s="65" t="s">
        <v>136</v>
      </c>
      <c r="N244" s="65" t="s">
        <v>615</v>
      </c>
      <c r="O244" s="65" t="s">
        <v>138</v>
      </c>
      <c r="P244" s="65"/>
      <c r="Q244" s="65"/>
      <c r="R244" s="65">
        <f>Tabela393[[#This Row],[Atividade]]*Tabela393[[#This Row],[Quant.]]</f>
        <v>0</v>
      </c>
      <c r="S244" s="84"/>
      <c r="T244" s="70"/>
      <c r="X244" s="70"/>
      <c r="AB244" s="83"/>
      <c r="AC244" s="83"/>
      <c r="AD244" s="83"/>
      <c r="AE244" s="83"/>
      <c r="AF244" s="83"/>
      <c r="AG244" s="93" t="s">
        <v>463</v>
      </c>
      <c r="AH244" s="66" t="s">
        <v>606</v>
      </c>
      <c r="AI244" s="66" t="s">
        <v>85</v>
      </c>
      <c r="AJ244" s="94">
        <v>1</v>
      </c>
    </row>
    <row r="245" spans="1:36" x14ac:dyDescent="0.25">
      <c r="A245" s="70"/>
      <c r="B245" s="70"/>
      <c r="C245" s="70"/>
      <c r="D245" s="70"/>
      <c r="E245" s="70"/>
      <c r="F245" s="70"/>
      <c r="J245" s="65" t="s">
        <v>616</v>
      </c>
      <c r="K245" s="65" t="s">
        <v>134</v>
      </c>
      <c r="L245" s="65" t="s">
        <v>270</v>
      </c>
      <c r="M245" s="65" t="s">
        <v>136</v>
      </c>
      <c r="N245" s="65" t="s">
        <v>615</v>
      </c>
      <c r="O245" s="65" t="s">
        <v>152</v>
      </c>
      <c r="P245" s="65"/>
      <c r="Q245" s="65"/>
      <c r="R245" s="65">
        <f>Tabela393[[#This Row],[Atividade]]*Tabela393[[#This Row],[Quant.]]</f>
        <v>0</v>
      </c>
      <c r="S245" s="84"/>
      <c r="T245" s="70"/>
      <c r="X245" s="70"/>
      <c r="AB245" s="83"/>
      <c r="AC245" s="83"/>
      <c r="AD245" s="83"/>
      <c r="AE245" s="83"/>
      <c r="AF245" s="83"/>
      <c r="AG245" s="93" t="s">
        <v>463</v>
      </c>
      <c r="AH245" s="66" t="s">
        <v>606</v>
      </c>
      <c r="AI245" s="66" t="s">
        <v>86</v>
      </c>
      <c r="AJ245" s="94">
        <v>1</v>
      </c>
    </row>
    <row r="246" spans="1:36" x14ac:dyDescent="0.25">
      <c r="A246" s="70"/>
      <c r="B246" s="70"/>
      <c r="C246" s="70"/>
      <c r="D246" s="70"/>
      <c r="E246" s="70"/>
      <c r="F246" s="70"/>
      <c r="O246" s="66"/>
      <c r="P246" s="66"/>
      <c r="Q246" s="66"/>
      <c r="R246" s="66"/>
      <c r="S246" s="70"/>
      <c r="T246" s="70"/>
      <c r="X246" s="70"/>
      <c r="AB246" s="83"/>
      <c r="AC246" s="83"/>
      <c r="AD246" s="83"/>
      <c r="AE246" s="83"/>
      <c r="AF246" s="83"/>
      <c r="AG246" s="93" t="s">
        <v>463</v>
      </c>
      <c r="AH246" s="66" t="s">
        <v>606</v>
      </c>
      <c r="AI246" s="66" t="s">
        <v>87</v>
      </c>
      <c r="AJ246" s="94">
        <v>1</v>
      </c>
    </row>
    <row r="247" spans="1:36" x14ac:dyDescent="0.25">
      <c r="G247" s="103"/>
      <c r="H247" s="103"/>
      <c r="I247" s="103"/>
      <c r="J247" s="104"/>
      <c r="K247" s="104"/>
      <c r="L247" s="104"/>
      <c r="M247" s="103"/>
      <c r="N247" s="81"/>
      <c r="AB247" s="83"/>
      <c r="AC247" s="83"/>
      <c r="AD247" s="83"/>
      <c r="AE247" s="83"/>
      <c r="AF247" s="83"/>
      <c r="AG247" s="93" t="s">
        <v>463</v>
      </c>
      <c r="AH247" s="66" t="s">
        <v>606</v>
      </c>
      <c r="AI247" s="66" t="s">
        <v>88</v>
      </c>
      <c r="AJ247" s="94">
        <v>1</v>
      </c>
    </row>
    <row r="248" spans="1:36" x14ac:dyDescent="0.25">
      <c r="AB248" s="83"/>
      <c r="AC248" s="83"/>
      <c r="AD248" s="83"/>
      <c r="AE248" s="83"/>
      <c r="AF248" s="83"/>
      <c r="AG248" s="93" t="s">
        <v>463</v>
      </c>
      <c r="AH248" s="66" t="s">
        <v>606</v>
      </c>
      <c r="AI248" s="66" t="s">
        <v>89</v>
      </c>
      <c r="AJ248" s="94">
        <v>1</v>
      </c>
    </row>
    <row r="249" spans="1:36" x14ac:dyDescent="0.25">
      <c r="AB249" s="83"/>
      <c r="AC249" s="83"/>
      <c r="AD249" s="83"/>
      <c r="AE249" s="83"/>
      <c r="AF249" s="83"/>
      <c r="AG249" s="93" t="s">
        <v>463</v>
      </c>
      <c r="AH249" s="66" t="s">
        <v>606</v>
      </c>
      <c r="AI249" s="66" t="s">
        <v>90</v>
      </c>
      <c r="AJ249" s="94">
        <v>1</v>
      </c>
    </row>
    <row r="250" spans="1:36" x14ac:dyDescent="0.25">
      <c r="AB250" s="83"/>
      <c r="AC250" s="83"/>
      <c r="AD250" s="83"/>
      <c r="AE250" s="83"/>
      <c r="AF250" s="83"/>
      <c r="AG250" s="93" t="s">
        <v>463</v>
      </c>
      <c r="AH250" s="66" t="s">
        <v>606</v>
      </c>
      <c r="AI250" s="66" t="s">
        <v>91</v>
      </c>
      <c r="AJ250" s="94">
        <v>1</v>
      </c>
    </row>
    <row r="251" spans="1:36" x14ac:dyDescent="0.25">
      <c r="AB251" s="83"/>
      <c r="AC251" s="83"/>
      <c r="AD251" s="83"/>
      <c r="AE251" s="83"/>
      <c r="AF251" s="83"/>
      <c r="AG251" s="93" t="s">
        <v>463</v>
      </c>
      <c r="AH251" s="66" t="s">
        <v>606</v>
      </c>
      <c r="AI251" s="66" t="s">
        <v>92</v>
      </c>
      <c r="AJ251" s="94">
        <v>1</v>
      </c>
    </row>
    <row r="252" spans="1:36" x14ac:dyDescent="0.25">
      <c r="AB252" s="83"/>
      <c r="AC252" s="83"/>
      <c r="AD252" s="83"/>
      <c r="AE252" s="83"/>
      <c r="AF252" s="83"/>
      <c r="AG252" s="93" t="s">
        <v>463</v>
      </c>
      <c r="AH252" s="66" t="s">
        <v>606</v>
      </c>
      <c r="AI252" s="66" t="s">
        <v>93</v>
      </c>
      <c r="AJ252" s="94">
        <v>1</v>
      </c>
    </row>
    <row r="253" spans="1:36" x14ac:dyDescent="0.25">
      <c r="AB253" s="83"/>
      <c r="AC253" s="83"/>
      <c r="AD253" s="83"/>
      <c r="AE253" s="83"/>
      <c r="AF253" s="83"/>
      <c r="AG253" s="93" t="s">
        <v>463</v>
      </c>
      <c r="AH253" s="66" t="s">
        <v>606</v>
      </c>
      <c r="AI253" s="66" t="s">
        <v>94</v>
      </c>
      <c r="AJ253" s="94">
        <v>1</v>
      </c>
    </row>
    <row r="254" spans="1:36" x14ac:dyDescent="0.25">
      <c r="AB254" s="83"/>
      <c r="AC254" s="83"/>
      <c r="AD254" s="83"/>
      <c r="AE254" s="83"/>
      <c r="AF254" s="83"/>
      <c r="AG254" s="93" t="s">
        <v>463</v>
      </c>
      <c r="AH254" s="66" t="s">
        <v>606</v>
      </c>
      <c r="AI254" s="66" t="s">
        <v>95</v>
      </c>
      <c r="AJ254" s="94">
        <v>1</v>
      </c>
    </row>
    <row r="255" spans="1:36" x14ac:dyDescent="0.25">
      <c r="AB255" s="83"/>
      <c r="AC255" s="83"/>
      <c r="AD255" s="83"/>
      <c r="AE255" s="83"/>
      <c r="AF255" s="83"/>
      <c r="AG255" s="93" t="s">
        <v>463</v>
      </c>
      <c r="AH255" s="66" t="s">
        <v>606</v>
      </c>
      <c r="AI255" s="66" t="s">
        <v>96</v>
      </c>
      <c r="AJ255" s="94">
        <v>1</v>
      </c>
    </row>
    <row r="256" spans="1:36" x14ac:dyDescent="0.25">
      <c r="AB256" s="83"/>
      <c r="AC256" s="83"/>
      <c r="AD256" s="83"/>
      <c r="AE256" s="83"/>
      <c r="AF256" s="83"/>
      <c r="AG256" s="93" t="s">
        <v>463</v>
      </c>
      <c r="AH256" s="66" t="s">
        <v>35</v>
      </c>
      <c r="AI256" s="66" t="s">
        <v>617</v>
      </c>
      <c r="AJ256" s="94">
        <v>1</v>
      </c>
    </row>
    <row r="257" spans="28:36" x14ac:dyDescent="0.25">
      <c r="AB257" s="83"/>
      <c r="AC257" s="83"/>
      <c r="AD257" s="83"/>
      <c r="AE257" s="83"/>
      <c r="AF257" s="83"/>
      <c r="AG257" s="93" t="s">
        <v>463</v>
      </c>
      <c r="AH257" s="66" t="s">
        <v>35</v>
      </c>
      <c r="AI257" s="66" t="s">
        <v>99</v>
      </c>
      <c r="AJ257" s="94">
        <v>1</v>
      </c>
    </row>
    <row r="258" spans="28:36" x14ac:dyDescent="0.25">
      <c r="AB258" s="83"/>
      <c r="AC258" s="83"/>
      <c r="AD258" s="83"/>
      <c r="AE258" s="83"/>
      <c r="AF258" s="83"/>
      <c r="AG258" s="93" t="s">
        <v>463</v>
      </c>
      <c r="AH258" s="66" t="s">
        <v>35</v>
      </c>
      <c r="AI258" s="66" t="s">
        <v>618</v>
      </c>
      <c r="AJ258" s="94">
        <v>1</v>
      </c>
    </row>
    <row r="259" spans="28:36" x14ac:dyDescent="0.25">
      <c r="AB259" s="83"/>
      <c r="AC259" s="83"/>
      <c r="AD259" s="83"/>
      <c r="AE259" s="83"/>
      <c r="AF259" s="83"/>
      <c r="AG259" s="93" t="s">
        <v>463</v>
      </c>
      <c r="AH259" s="66" t="s">
        <v>35</v>
      </c>
      <c r="AI259" s="66" t="s">
        <v>619</v>
      </c>
      <c r="AJ259" s="94">
        <v>1</v>
      </c>
    </row>
    <row r="260" spans="28:36" x14ac:dyDescent="0.25">
      <c r="AB260" s="83"/>
      <c r="AC260" s="83"/>
      <c r="AD260" s="83"/>
      <c r="AE260" s="83"/>
      <c r="AF260" s="83"/>
      <c r="AG260" s="93" t="s">
        <v>463</v>
      </c>
      <c r="AH260" s="66" t="s">
        <v>35</v>
      </c>
      <c r="AI260" s="66" t="s">
        <v>620</v>
      </c>
      <c r="AJ260" s="94">
        <v>1</v>
      </c>
    </row>
    <row r="261" spans="28:36" x14ac:dyDescent="0.25">
      <c r="AB261" s="83"/>
      <c r="AC261" s="83"/>
      <c r="AD261" s="83"/>
      <c r="AE261" s="83"/>
      <c r="AF261" s="83"/>
      <c r="AG261" s="93" t="s">
        <v>463</v>
      </c>
      <c r="AH261" s="66" t="s">
        <v>35</v>
      </c>
      <c r="AI261" s="66" t="s">
        <v>103</v>
      </c>
      <c r="AJ261" s="94">
        <v>1</v>
      </c>
    </row>
    <row r="262" spans="28:36" x14ac:dyDescent="0.25">
      <c r="AB262" s="83"/>
      <c r="AC262" s="83"/>
      <c r="AD262" s="83"/>
      <c r="AE262" s="83"/>
      <c r="AF262" s="83"/>
      <c r="AG262" s="93" t="s">
        <v>463</v>
      </c>
      <c r="AH262" s="66" t="s">
        <v>35</v>
      </c>
      <c r="AI262" s="66" t="s">
        <v>104</v>
      </c>
      <c r="AJ262" s="94">
        <v>1</v>
      </c>
    </row>
    <row r="263" spans="28:36" x14ac:dyDescent="0.25">
      <c r="AB263" s="83"/>
      <c r="AC263" s="83"/>
      <c r="AD263" s="83"/>
      <c r="AE263" s="83"/>
      <c r="AF263" s="83"/>
      <c r="AG263" s="93" t="s">
        <v>463</v>
      </c>
      <c r="AH263" s="66" t="s">
        <v>589</v>
      </c>
      <c r="AI263" s="66" t="s">
        <v>92</v>
      </c>
      <c r="AJ263" s="94">
        <v>1</v>
      </c>
    </row>
    <row r="264" spans="28:36" x14ac:dyDescent="0.25">
      <c r="AB264" s="83"/>
      <c r="AC264" s="83"/>
      <c r="AD264" s="83"/>
      <c r="AE264" s="83"/>
      <c r="AF264" s="83"/>
      <c r="AG264" s="93" t="s">
        <v>463</v>
      </c>
      <c r="AH264" s="66" t="s">
        <v>589</v>
      </c>
      <c r="AI264" s="66" t="s">
        <v>93</v>
      </c>
      <c r="AJ264" s="94">
        <v>1</v>
      </c>
    </row>
    <row r="265" spans="28:36" x14ac:dyDescent="0.25">
      <c r="AB265" s="83"/>
      <c r="AC265" s="83"/>
      <c r="AD265" s="83"/>
      <c r="AE265" s="83"/>
      <c r="AF265" s="83"/>
      <c r="AG265" s="93" t="s">
        <v>463</v>
      </c>
      <c r="AH265" s="66" t="s">
        <v>589</v>
      </c>
      <c r="AI265" s="66" t="s">
        <v>94</v>
      </c>
      <c r="AJ265" s="94">
        <v>1</v>
      </c>
    </row>
    <row r="266" spans="28:36" x14ac:dyDescent="0.25">
      <c r="AB266" s="83"/>
      <c r="AC266" s="83"/>
      <c r="AD266" s="83"/>
      <c r="AE266" s="83"/>
      <c r="AF266" s="83"/>
      <c r="AG266" s="93" t="s">
        <v>463</v>
      </c>
      <c r="AH266" s="66" t="s">
        <v>37</v>
      </c>
      <c r="AI266" s="66" t="s">
        <v>621</v>
      </c>
      <c r="AJ266" s="94">
        <v>1</v>
      </c>
    </row>
    <row r="267" spans="28:36" x14ac:dyDescent="0.25">
      <c r="AB267" s="83"/>
      <c r="AC267" s="83"/>
      <c r="AD267" s="83"/>
      <c r="AE267" s="83"/>
      <c r="AF267" s="83"/>
      <c r="AG267" s="93" t="s">
        <v>463</v>
      </c>
      <c r="AH267" s="66" t="s">
        <v>73</v>
      </c>
      <c r="AI267" s="66" t="s">
        <v>208</v>
      </c>
      <c r="AJ267" s="94">
        <v>2</v>
      </c>
    </row>
    <row r="268" spans="28:36" x14ac:dyDescent="0.25">
      <c r="AB268" s="83"/>
      <c r="AC268" s="83"/>
      <c r="AD268" s="83"/>
      <c r="AE268" s="83"/>
      <c r="AF268" s="83"/>
      <c r="AG268" s="93" t="s">
        <v>463</v>
      </c>
      <c r="AH268" s="66" t="s">
        <v>73</v>
      </c>
      <c r="AI268" s="66" t="s">
        <v>622</v>
      </c>
      <c r="AJ268" s="94">
        <v>1</v>
      </c>
    </row>
    <row r="269" spans="28:36" x14ac:dyDescent="0.25">
      <c r="AB269" s="83"/>
      <c r="AC269" s="83"/>
      <c r="AD269" s="83"/>
      <c r="AE269" s="83"/>
      <c r="AF269" s="83"/>
      <c r="AG269" s="93" t="s">
        <v>463</v>
      </c>
      <c r="AH269" s="66" t="s">
        <v>73</v>
      </c>
      <c r="AI269" s="66" t="s">
        <v>623</v>
      </c>
      <c r="AJ269" s="94">
        <v>1</v>
      </c>
    </row>
    <row r="270" spans="28:36" x14ac:dyDescent="0.25">
      <c r="AB270" s="83"/>
      <c r="AC270" s="83"/>
      <c r="AD270" s="83"/>
      <c r="AE270" s="83"/>
      <c r="AF270" s="83"/>
      <c r="AG270" s="93" t="s">
        <v>463</v>
      </c>
      <c r="AH270" s="66" t="s">
        <v>589</v>
      </c>
      <c r="AI270" s="66" t="s">
        <v>95</v>
      </c>
      <c r="AJ270" s="94">
        <v>1</v>
      </c>
    </row>
    <row r="271" spans="28:36" x14ac:dyDescent="0.25">
      <c r="AB271" s="83"/>
      <c r="AC271" s="83"/>
      <c r="AD271" s="83"/>
      <c r="AE271" s="83"/>
      <c r="AF271" s="83"/>
      <c r="AG271" s="93" t="s">
        <v>463</v>
      </c>
      <c r="AH271" s="66" t="s">
        <v>589</v>
      </c>
      <c r="AI271" s="66" t="s">
        <v>96</v>
      </c>
      <c r="AJ271" s="94">
        <v>1</v>
      </c>
    </row>
    <row r="272" spans="28:36" x14ac:dyDescent="0.25">
      <c r="AB272" s="83"/>
      <c r="AC272" s="83"/>
      <c r="AD272" s="83"/>
      <c r="AE272" s="83"/>
      <c r="AF272" s="83"/>
      <c r="AG272" s="93" t="s">
        <v>463</v>
      </c>
      <c r="AH272" s="66" t="s">
        <v>624</v>
      </c>
      <c r="AI272" s="66" t="s">
        <v>625</v>
      </c>
      <c r="AJ272" s="94">
        <v>1</v>
      </c>
    </row>
    <row r="273" spans="28:36" x14ac:dyDescent="0.25">
      <c r="AB273" s="83"/>
      <c r="AC273" s="83"/>
      <c r="AD273" s="83"/>
      <c r="AE273" s="83"/>
      <c r="AF273" s="83"/>
      <c r="AG273" s="93" t="s">
        <v>477</v>
      </c>
      <c r="AH273" s="66" t="s">
        <v>76</v>
      </c>
      <c r="AI273" s="66" t="s">
        <v>96</v>
      </c>
      <c r="AJ273" s="94">
        <v>1</v>
      </c>
    </row>
    <row r="274" spans="28:36" x14ac:dyDescent="0.25">
      <c r="AB274" s="83"/>
      <c r="AC274" s="83"/>
      <c r="AD274" s="83"/>
      <c r="AE274" s="83"/>
      <c r="AF274" s="83"/>
      <c r="AG274" s="93" t="s">
        <v>477</v>
      </c>
      <c r="AH274" s="66" t="s">
        <v>76</v>
      </c>
      <c r="AI274" s="66" t="s">
        <v>95</v>
      </c>
      <c r="AJ274" s="94">
        <v>1</v>
      </c>
    </row>
    <row r="275" spans="28:36" x14ac:dyDescent="0.25">
      <c r="AB275" s="83"/>
      <c r="AC275" s="83"/>
      <c r="AD275" s="83"/>
      <c r="AE275" s="83"/>
      <c r="AF275" s="83"/>
      <c r="AG275" s="93" t="s">
        <v>477</v>
      </c>
      <c r="AH275" s="66" t="s">
        <v>76</v>
      </c>
      <c r="AI275" s="66" t="s">
        <v>94</v>
      </c>
      <c r="AJ275" s="94">
        <v>1</v>
      </c>
    </row>
    <row r="276" spans="28:36" x14ac:dyDescent="0.25">
      <c r="AB276" s="83"/>
      <c r="AC276" s="83"/>
      <c r="AD276" s="83"/>
      <c r="AE276" s="83"/>
      <c r="AF276" s="83"/>
      <c r="AG276" s="93" t="s">
        <v>477</v>
      </c>
      <c r="AH276" s="66" t="s">
        <v>76</v>
      </c>
      <c r="AI276" s="66" t="s">
        <v>93</v>
      </c>
      <c r="AJ276" s="94">
        <v>1</v>
      </c>
    </row>
    <row r="277" spans="28:36" x14ac:dyDescent="0.25">
      <c r="AB277" s="83"/>
      <c r="AC277" s="83"/>
      <c r="AD277" s="83"/>
      <c r="AE277" s="83"/>
      <c r="AF277" s="83"/>
      <c r="AG277" s="93" t="s">
        <v>477</v>
      </c>
      <c r="AH277" s="66" t="s">
        <v>76</v>
      </c>
      <c r="AI277" s="66" t="s">
        <v>92</v>
      </c>
      <c r="AJ277" s="94">
        <v>1</v>
      </c>
    </row>
    <row r="278" spans="28:36" x14ac:dyDescent="0.25">
      <c r="AB278" s="83"/>
      <c r="AC278" s="83"/>
      <c r="AD278" s="83"/>
      <c r="AE278" s="83"/>
      <c r="AF278" s="83"/>
      <c r="AG278" s="93" t="s">
        <v>477</v>
      </c>
      <c r="AH278" s="66" t="s">
        <v>76</v>
      </c>
      <c r="AI278" s="66" t="s">
        <v>91</v>
      </c>
      <c r="AJ278" s="94">
        <v>1</v>
      </c>
    </row>
    <row r="279" spans="28:36" x14ac:dyDescent="0.25">
      <c r="AB279" s="83"/>
      <c r="AC279" s="83"/>
      <c r="AD279" s="83"/>
      <c r="AE279" s="83"/>
      <c r="AF279" s="83"/>
      <c r="AG279" s="93" t="s">
        <v>477</v>
      </c>
      <c r="AH279" s="66" t="s">
        <v>76</v>
      </c>
      <c r="AI279" s="66" t="s">
        <v>90</v>
      </c>
      <c r="AJ279" s="94">
        <v>1</v>
      </c>
    </row>
    <row r="280" spans="28:36" x14ac:dyDescent="0.25">
      <c r="AB280" s="83"/>
      <c r="AC280" s="83"/>
      <c r="AD280" s="83"/>
      <c r="AE280" s="83"/>
      <c r="AF280" s="83"/>
      <c r="AG280" s="93" t="s">
        <v>477</v>
      </c>
      <c r="AH280" s="66" t="s">
        <v>76</v>
      </c>
      <c r="AI280" s="66" t="s">
        <v>89</v>
      </c>
      <c r="AJ280" s="94">
        <v>1</v>
      </c>
    </row>
    <row r="281" spans="28:36" x14ac:dyDescent="0.25">
      <c r="AB281" s="83"/>
      <c r="AC281" s="83"/>
      <c r="AD281" s="83"/>
      <c r="AE281" s="83"/>
      <c r="AF281" s="83"/>
      <c r="AG281" s="93" t="s">
        <v>477</v>
      </c>
      <c r="AH281" s="66" t="s">
        <v>76</v>
      </c>
      <c r="AI281" s="66" t="s">
        <v>88</v>
      </c>
      <c r="AJ281" s="94">
        <v>1</v>
      </c>
    </row>
    <row r="282" spans="28:36" x14ac:dyDescent="0.25">
      <c r="AB282" s="83"/>
      <c r="AC282" s="83"/>
      <c r="AD282" s="83"/>
      <c r="AE282" s="83"/>
      <c r="AF282" s="83"/>
      <c r="AG282" s="93" t="s">
        <v>477</v>
      </c>
      <c r="AH282" s="66" t="s">
        <v>76</v>
      </c>
      <c r="AI282" s="66" t="s">
        <v>87</v>
      </c>
      <c r="AJ282" s="94">
        <v>1</v>
      </c>
    </row>
    <row r="283" spans="28:36" x14ac:dyDescent="0.25">
      <c r="AB283" s="83"/>
      <c r="AC283" s="83"/>
      <c r="AD283" s="83"/>
      <c r="AE283" s="83"/>
      <c r="AF283" s="83"/>
      <c r="AG283" s="93" t="s">
        <v>477</v>
      </c>
      <c r="AH283" s="66" t="s">
        <v>76</v>
      </c>
      <c r="AI283" s="66" t="s">
        <v>86</v>
      </c>
      <c r="AJ283" s="94">
        <v>1</v>
      </c>
    </row>
    <row r="284" spans="28:36" x14ac:dyDescent="0.25">
      <c r="AB284" s="83"/>
      <c r="AC284" s="83"/>
      <c r="AD284" s="83"/>
      <c r="AE284" s="83"/>
      <c r="AF284" s="83"/>
      <c r="AG284" s="93" t="s">
        <v>477</v>
      </c>
      <c r="AH284" s="66" t="s">
        <v>76</v>
      </c>
      <c r="AI284" s="66" t="s">
        <v>85</v>
      </c>
      <c r="AJ284" s="94">
        <v>1</v>
      </c>
    </row>
    <row r="285" spans="28:36" x14ac:dyDescent="0.25">
      <c r="AB285" s="83"/>
      <c r="AC285" s="83"/>
      <c r="AD285" s="83"/>
      <c r="AE285" s="83"/>
      <c r="AF285" s="83"/>
      <c r="AG285" s="93" t="s">
        <v>477</v>
      </c>
      <c r="AH285" s="66" t="s">
        <v>76</v>
      </c>
      <c r="AI285" s="66" t="s">
        <v>84</v>
      </c>
      <c r="AJ285" s="94">
        <v>1</v>
      </c>
    </row>
    <row r="286" spans="28:36" x14ac:dyDescent="0.25">
      <c r="AB286" s="83"/>
      <c r="AC286" s="83"/>
      <c r="AD286" s="83"/>
      <c r="AE286" s="83"/>
      <c r="AF286" s="83"/>
      <c r="AG286" s="93" t="s">
        <v>477</v>
      </c>
      <c r="AH286" s="66" t="s">
        <v>76</v>
      </c>
      <c r="AI286" s="66" t="s">
        <v>83</v>
      </c>
      <c r="AJ286" s="94">
        <v>1</v>
      </c>
    </row>
    <row r="287" spans="28:36" x14ac:dyDescent="0.25">
      <c r="AB287" s="83"/>
      <c r="AC287" s="83"/>
      <c r="AD287" s="83"/>
      <c r="AE287" s="83"/>
      <c r="AF287" s="83"/>
      <c r="AG287" s="93" t="s">
        <v>477</v>
      </c>
      <c r="AH287" s="66" t="s">
        <v>76</v>
      </c>
      <c r="AI287" s="66" t="s">
        <v>82</v>
      </c>
      <c r="AJ287" s="94">
        <v>1</v>
      </c>
    </row>
    <row r="288" spans="28:36" x14ac:dyDescent="0.25">
      <c r="AB288" s="83"/>
      <c r="AC288" s="83"/>
      <c r="AD288" s="83"/>
      <c r="AE288" s="83"/>
      <c r="AF288" s="83"/>
      <c r="AG288" s="93" t="s">
        <v>477</v>
      </c>
      <c r="AH288" s="66" t="s">
        <v>76</v>
      </c>
      <c r="AI288" s="66" t="s">
        <v>79</v>
      </c>
      <c r="AJ288" s="94">
        <v>1</v>
      </c>
    </row>
    <row r="289" spans="28:36" x14ac:dyDescent="0.25">
      <c r="AB289" s="83"/>
      <c r="AC289" s="83"/>
      <c r="AD289" s="83"/>
      <c r="AE289" s="83"/>
      <c r="AF289" s="83"/>
      <c r="AG289" s="93" t="s">
        <v>477</v>
      </c>
      <c r="AH289" s="66" t="s">
        <v>76</v>
      </c>
      <c r="AI289" s="66" t="s">
        <v>81</v>
      </c>
      <c r="AJ289" s="94">
        <v>1</v>
      </c>
    </row>
    <row r="290" spans="28:36" x14ac:dyDescent="0.25">
      <c r="AB290" s="83"/>
      <c r="AC290" s="83"/>
      <c r="AD290" s="83"/>
      <c r="AE290" s="83"/>
      <c r="AF290" s="83"/>
      <c r="AG290" s="93" t="s">
        <v>477</v>
      </c>
      <c r="AH290" s="66" t="s">
        <v>76</v>
      </c>
      <c r="AI290" s="66" t="s">
        <v>80</v>
      </c>
      <c r="AJ290" s="94">
        <v>1</v>
      </c>
    </row>
    <row r="291" spans="28:36" x14ac:dyDescent="0.25">
      <c r="AB291" s="83"/>
      <c r="AC291" s="83"/>
      <c r="AD291" s="83"/>
      <c r="AE291" s="83"/>
      <c r="AF291" s="83"/>
      <c r="AG291" s="93" t="s">
        <v>477</v>
      </c>
      <c r="AH291" s="66" t="s">
        <v>76</v>
      </c>
      <c r="AI291" s="66" t="s">
        <v>300</v>
      </c>
      <c r="AJ291" s="94">
        <v>1</v>
      </c>
    </row>
    <row r="292" spans="28:36" x14ac:dyDescent="0.25">
      <c r="AB292" s="83"/>
      <c r="AC292" s="83"/>
      <c r="AD292" s="83"/>
      <c r="AE292" s="83"/>
      <c r="AF292" s="83"/>
      <c r="AG292" s="93" t="s">
        <v>399</v>
      </c>
      <c r="AH292" s="66" t="s">
        <v>626</v>
      </c>
      <c r="AI292" s="66" t="s">
        <v>627</v>
      </c>
      <c r="AJ292" s="94">
        <v>1</v>
      </c>
    </row>
    <row r="293" spans="28:36" x14ac:dyDescent="0.25">
      <c r="AB293" s="83"/>
      <c r="AC293" s="83"/>
      <c r="AD293" s="83"/>
      <c r="AE293" s="83"/>
      <c r="AF293" s="83"/>
      <c r="AG293" s="93" t="s">
        <v>399</v>
      </c>
      <c r="AH293" s="66" t="s">
        <v>628</v>
      </c>
      <c r="AI293" s="66" t="s">
        <v>95</v>
      </c>
      <c r="AJ293" s="94">
        <v>1</v>
      </c>
    </row>
    <row r="294" spans="28:36" x14ac:dyDescent="0.25">
      <c r="AB294" s="83"/>
      <c r="AC294" s="83"/>
      <c r="AD294" s="83"/>
      <c r="AE294" s="83"/>
      <c r="AF294" s="83"/>
      <c r="AG294" s="93" t="s">
        <v>399</v>
      </c>
      <c r="AH294" s="66" t="s">
        <v>628</v>
      </c>
      <c r="AI294" s="66" t="s">
        <v>96</v>
      </c>
      <c r="AJ294" s="94">
        <v>1</v>
      </c>
    </row>
    <row r="295" spans="28:36" x14ac:dyDescent="0.25">
      <c r="AB295" s="83"/>
      <c r="AC295" s="83"/>
      <c r="AD295" s="83"/>
      <c r="AE295" s="83"/>
      <c r="AF295" s="83"/>
      <c r="AG295" s="93" t="s">
        <v>399</v>
      </c>
      <c r="AH295" s="66" t="s">
        <v>629</v>
      </c>
      <c r="AI295" s="66" t="s">
        <v>303</v>
      </c>
      <c r="AJ295" s="94">
        <v>1</v>
      </c>
    </row>
    <row r="296" spans="28:36" x14ac:dyDescent="0.25">
      <c r="AB296" s="83"/>
      <c r="AC296" s="83"/>
      <c r="AD296" s="83"/>
      <c r="AE296" s="83"/>
      <c r="AF296" s="83"/>
      <c r="AG296" s="93" t="s">
        <v>399</v>
      </c>
      <c r="AH296" s="66" t="s">
        <v>629</v>
      </c>
      <c r="AI296" s="66" t="s">
        <v>300</v>
      </c>
      <c r="AJ296" s="94">
        <v>1</v>
      </c>
    </row>
    <row r="297" spans="28:36" x14ac:dyDescent="0.25">
      <c r="AB297" s="83"/>
      <c r="AC297" s="83"/>
      <c r="AD297" s="83"/>
      <c r="AE297" s="83"/>
      <c r="AF297" s="83"/>
      <c r="AG297" s="93" t="s">
        <v>399</v>
      </c>
      <c r="AH297" s="66" t="s">
        <v>629</v>
      </c>
      <c r="AI297" s="66" t="s">
        <v>80</v>
      </c>
      <c r="AJ297" s="94">
        <v>1</v>
      </c>
    </row>
    <row r="298" spans="28:36" x14ac:dyDescent="0.25">
      <c r="AB298" s="83"/>
      <c r="AC298" s="83"/>
      <c r="AD298" s="83"/>
      <c r="AE298" s="83"/>
      <c r="AF298" s="83"/>
      <c r="AG298" s="93" t="s">
        <v>399</v>
      </c>
      <c r="AH298" s="66" t="s">
        <v>629</v>
      </c>
      <c r="AI298" s="66" t="s">
        <v>81</v>
      </c>
      <c r="AJ298" s="94">
        <v>1</v>
      </c>
    </row>
    <row r="299" spans="28:36" x14ac:dyDescent="0.25">
      <c r="AB299" s="83"/>
      <c r="AC299" s="83"/>
      <c r="AD299" s="83"/>
      <c r="AE299" s="83"/>
      <c r="AF299" s="83"/>
      <c r="AG299" s="93" t="s">
        <v>399</v>
      </c>
      <c r="AH299" s="66" t="s">
        <v>629</v>
      </c>
      <c r="AI299" s="66" t="s">
        <v>79</v>
      </c>
      <c r="AJ299" s="94">
        <v>1</v>
      </c>
    </row>
    <row r="300" spans="28:36" x14ac:dyDescent="0.25">
      <c r="AB300" s="83"/>
      <c r="AC300" s="83"/>
      <c r="AD300" s="83"/>
      <c r="AE300" s="83"/>
      <c r="AF300" s="83"/>
      <c r="AG300" s="93" t="s">
        <v>399</v>
      </c>
      <c r="AH300" s="66" t="s">
        <v>629</v>
      </c>
      <c r="AI300" s="66" t="s">
        <v>82</v>
      </c>
      <c r="AJ300" s="94">
        <v>1</v>
      </c>
    </row>
    <row r="301" spans="28:36" x14ac:dyDescent="0.25">
      <c r="AB301" s="83"/>
      <c r="AC301" s="83"/>
      <c r="AD301" s="83"/>
      <c r="AE301" s="83"/>
      <c r="AF301" s="83"/>
      <c r="AG301" s="93" t="s">
        <v>399</v>
      </c>
      <c r="AH301" s="66" t="s">
        <v>629</v>
      </c>
      <c r="AI301" s="66" t="s">
        <v>83</v>
      </c>
      <c r="AJ301" s="94">
        <v>1</v>
      </c>
    </row>
    <row r="302" spans="28:36" x14ac:dyDescent="0.25">
      <c r="AB302" s="83"/>
      <c r="AC302" s="83"/>
      <c r="AD302" s="83"/>
      <c r="AE302" s="83"/>
      <c r="AF302" s="83"/>
      <c r="AG302" s="93" t="s">
        <v>399</v>
      </c>
      <c r="AH302" s="66" t="s">
        <v>629</v>
      </c>
      <c r="AI302" s="66" t="s">
        <v>84</v>
      </c>
      <c r="AJ302" s="94">
        <v>1</v>
      </c>
    </row>
    <row r="303" spans="28:36" x14ac:dyDescent="0.25">
      <c r="AB303" s="83"/>
      <c r="AC303" s="83"/>
      <c r="AD303" s="83"/>
      <c r="AE303" s="83"/>
      <c r="AF303" s="83"/>
      <c r="AG303" s="93" t="s">
        <v>399</v>
      </c>
      <c r="AH303" s="66" t="s">
        <v>629</v>
      </c>
      <c r="AI303" s="66" t="s">
        <v>85</v>
      </c>
      <c r="AJ303" s="94">
        <v>1</v>
      </c>
    </row>
    <row r="304" spans="28:36" x14ac:dyDescent="0.25">
      <c r="AB304" s="83"/>
      <c r="AC304" s="83"/>
      <c r="AD304" s="83"/>
      <c r="AE304" s="83"/>
      <c r="AF304" s="83"/>
      <c r="AG304" s="93" t="s">
        <v>399</v>
      </c>
      <c r="AH304" s="66" t="s">
        <v>629</v>
      </c>
      <c r="AI304" s="66" t="s">
        <v>86</v>
      </c>
      <c r="AJ304" s="94">
        <v>1</v>
      </c>
    </row>
    <row r="305" spans="28:36" x14ac:dyDescent="0.25">
      <c r="AB305" s="83"/>
      <c r="AC305" s="83"/>
      <c r="AD305" s="83"/>
      <c r="AE305" s="83"/>
      <c r="AF305" s="83"/>
      <c r="AG305" s="93" t="s">
        <v>399</v>
      </c>
      <c r="AH305" s="66" t="s">
        <v>629</v>
      </c>
      <c r="AI305" s="66" t="s">
        <v>87</v>
      </c>
      <c r="AJ305" s="94">
        <v>1</v>
      </c>
    </row>
    <row r="306" spans="28:36" x14ac:dyDescent="0.25">
      <c r="AB306" s="83"/>
      <c r="AC306" s="83"/>
      <c r="AD306" s="83"/>
      <c r="AE306" s="83"/>
      <c r="AF306" s="83"/>
      <c r="AG306" s="93" t="s">
        <v>399</v>
      </c>
      <c r="AH306" s="66" t="s">
        <v>629</v>
      </c>
      <c r="AI306" s="66" t="s">
        <v>88</v>
      </c>
      <c r="AJ306" s="94">
        <v>1</v>
      </c>
    </row>
    <row r="307" spans="28:36" x14ac:dyDescent="0.25">
      <c r="AB307" s="83"/>
      <c r="AC307" s="83"/>
      <c r="AD307" s="83"/>
      <c r="AE307" s="83"/>
      <c r="AF307" s="83"/>
      <c r="AG307" s="93" t="s">
        <v>399</v>
      </c>
      <c r="AH307" s="66" t="s">
        <v>629</v>
      </c>
      <c r="AI307" s="66" t="s">
        <v>89</v>
      </c>
      <c r="AJ307" s="94">
        <v>1</v>
      </c>
    </row>
    <row r="308" spans="28:36" x14ac:dyDescent="0.25">
      <c r="AB308" s="83"/>
      <c r="AC308" s="83"/>
      <c r="AD308" s="83"/>
      <c r="AE308" s="83"/>
      <c r="AF308" s="83"/>
      <c r="AG308" s="93" t="s">
        <v>399</v>
      </c>
      <c r="AH308" s="66" t="s">
        <v>629</v>
      </c>
      <c r="AI308" s="66" t="s">
        <v>90</v>
      </c>
      <c r="AJ308" s="94">
        <v>1</v>
      </c>
    </row>
    <row r="309" spans="28:36" x14ac:dyDescent="0.25">
      <c r="AB309" s="83"/>
      <c r="AC309" s="83"/>
      <c r="AD309" s="83"/>
      <c r="AE309" s="83"/>
      <c r="AF309" s="83"/>
      <c r="AG309" s="93" t="s">
        <v>399</v>
      </c>
      <c r="AH309" s="66" t="s">
        <v>629</v>
      </c>
      <c r="AI309" s="66" t="s">
        <v>91</v>
      </c>
      <c r="AJ309" s="94">
        <v>1</v>
      </c>
    </row>
    <row r="310" spans="28:36" x14ac:dyDescent="0.25">
      <c r="AB310" s="83"/>
      <c r="AC310" s="83"/>
      <c r="AD310" s="83"/>
      <c r="AE310" s="83"/>
      <c r="AF310" s="83"/>
      <c r="AG310" s="93" t="s">
        <v>399</v>
      </c>
      <c r="AH310" s="66" t="s">
        <v>629</v>
      </c>
      <c r="AI310" s="66" t="s">
        <v>92</v>
      </c>
      <c r="AJ310" s="94">
        <v>1</v>
      </c>
    </row>
    <row r="311" spans="28:36" x14ac:dyDescent="0.25">
      <c r="AB311" s="83"/>
      <c r="AC311" s="83"/>
      <c r="AD311" s="83"/>
      <c r="AE311" s="83"/>
      <c r="AF311" s="83"/>
      <c r="AG311" s="93" t="s">
        <v>399</v>
      </c>
      <c r="AH311" s="66" t="s">
        <v>629</v>
      </c>
      <c r="AI311" s="66" t="s">
        <v>93</v>
      </c>
      <c r="AJ311" s="94">
        <v>1</v>
      </c>
    </row>
    <row r="312" spans="28:36" x14ac:dyDescent="0.25">
      <c r="AB312" s="83"/>
      <c r="AC312" s="83"/>
      <c r="AD312" s="83"/>
      <c r="AE312" s="83"/>
      <c r="AF312" s="83"/>
      <c r="AG312" s="93" t="s">
        <v>399</v>
      </c>
      <c r="AH312" s="66" t="s">
        <v>629</v>
      </c>
      <c r="AI312" s="66" t="s">
        <v>94</v>
      </c>
      <c r="AJ312" s="94">
        <v>1</v>
      </c>
    </row>
    <row r="313" spans="28:36" x14ac:dyDescent="0.25">
      <c r="AB313" s="83"/>
      <c r="AC313" s="83"/>
      <c r="AD313" s="83"/>
      <c r="AE313" s="83"/>
      <c r="AF313" s="83"/>
      <c r="AG313" s="93" t="s">
        <v>399</v>
      </c>
      <c r="AH313" s="66" t="s">
        <v>629</v>
      </c>
      <c r="AI313" s="66" t="s">
        <v>95</v>
      </c>
      <c r="AJ313" s="94">
        <v>1</v>
      </c>
    </row>
    <row r="314" spans="28:36" x14ac:dyDescent="0.25">
      <c r="AB314" s="83"/>
      <c r="AC314" s="83"/>
      <c r="AD314" s="83"/>
      <c r="AE314" s="83"/>
      <c r="AF314" s="83"/>
      <c r="AG314" s="93" t="s">
        <v>399</v>
      </c>
      <c r="AH314" s="66" t="s">
        <v>629</v>
      </c>
      <c r="AI314" s="66" t="s">
        <v>96</v>
      </c>
      <c r="AJ314" s="94">
        <v>1</v>
      </c>
    </row>
    <row r="315" spans="28:36" x14ac:dyDescent="0.25">
      <c r="AB315" s="83"/>
      <c r="AC315" s="83"/>
      <c r="AD315" s="83"/>
      <c r="AE315" s="83"/>
      <c r="AF315" s="83"/>
      <c r="AG315" s="93" t="s">
        <v>399</v>
      </c>
      <c r="AH315" s="66" t="s">
        <v>630</v>
      </c>
      <c r="AI315" s="66" t="s">
        <v>303</v>
      </c>
      <c r="AJ315" s="94">
        <v>1</v>
      </c>
    </row>
    <row r="316" spans="28:36" x14ac:dyDescent="0.25">
      <c r="AB316" s="83"/>
      <c r="AC316" s="83"/>
      <c r="AD316" s="83"/>
      <c r="AE316" s="83"/>
      <c r="AF316" s="83"/>
      <c r="AG316" s="93" t="s">
        <v>399</v>
      </c>
      <c r="AH316" s="66" t="s">
        <v>630</v>
      </c>
      <c r="AI316" s="66" t="s">
        <v>300</v>
      </c>
      <c r="AJ316" s="94">
        <v>1</v>
      </c>
    </row>
    <row r="317" spans="28:36" x14ac:dyDescent="0.25">
      <c r="AB317" s="83"/>
      <c r="AC317" s="83"/>
      <c r="AD317" s="83"/>
      <c r="AE317" s="83"/>
      <c r="AF317" s="83"/>
      <c r="AG317" s="93" t="s">
        <v>399</v>
      </c>
      <c r="AH317" s="66" t="s">
        <v>630</v>
      </c>
      <c r="AI317" s="66" t="s">
        <v>80</v>
      </c>
      <c r="AJ317" s="94">
        <v>1</v>
      </c>
    </row>
    <row r="318" spans="28:36" x14ac:dyDescent="0.25">
      <c r="AB318" s="83"/>
      <c r="AC318" s="83"/>
      <c r="AD318" s="83"/>
      <c r="AE318" s="83"/>
      <c r="AF318" s="83"/>
      <c r="AG318" s="93" t="s">
        <v>399</v>
      </c>
      <c r="AH318" s="66" t="s">
        <v>630</v>
      </c>
      <c r="AI318" s="66" t="s">
        <v>81</v>
      </c>
      <c r="AJ318" s="94">
        <v>1</v>
      </c>
    </row>
    <row r="319" spans="28:36" x14ac:dyDescent="0.25">
      <c r="AB319" s="83"/>
      <c r="AC319" s="83"/>
      <c r="AD319" s="83"/>
      <c r="AE319" s="83"/>
      <c r="AF319" s="83"/>
      <c r="AG319" s="93" t="s">
        <v>399</v>
      </c>
      <c r="AH319" s="66" t="s">
        <v>630</v>
      </c>
      <c r="AI319" s="66" t="s">
        <v>79</v>
      </c>
      <c r="AJ319" s="94">
        <v>1</v>
      </c>
    </row>
    <row r="320" spans="28:36" x14ac:dyDescent="0.25">
      <c r="AB320" s="83"/>
      <c r="AC320" s="83"/>
      <c r="AD320" s="83"/>
      <c r="AE320" s="83"/>
      <c r="AF320" s="83"/>
      <c r="AG320" s="93" t="s">
        <v>399</v>
      </c>
      <c r="AH320" s="66" t="s">
        <v>630</v>
      </c>
      <c r="AI320" s="66" t="s">
        <v>82</v>
      </c>
      <c r="AJ320" s="94">
        <v>1</v>
      </c>
    </row>
    <row r="321" spans="28:36" x14ac:dyDescent="0.25">
      <c r="AB321" s="83"/>
      <c r="AC321" s="83"/>
      <c r="AD321" s="83"/>
      <c r="AE321" s="83"/>
      <c r="AF321" s="83"/>
      <c r="AG321" s="93" t="s">
        <v>399</v>
      </c>
      <c r="AH321" s="66" t="s">
        <v>630</v>
      </c>
      <c r="AI321" s="66" t="s">
        <v>83</v>
      </c>
      <c r="AJ321" s="94">
        <v>1</v>
      </c>
    </row>
    <row r="322" spans="28:36" x14ac:dyDescent="0.25">
      <c r="AB322" s="83"/>
      <c r="AC322" s="83"/>
      <c r="AD322" s="83"/>
      <c r="AE322" s="83"/>
      <c r="AF322" s="83"/>
      <c r="AG322" s="93" t="s">
        <v>399</v>
      </c>
      <c r="AH322" s="66" t="s">
        <v>630</v>
      </c>
      <c r="AI322" s="66" t="s">
        <v>84</v>
      </c>
      <c r="AJ322" s="94">
        <v>1</v>
      </c>
    </row>
    <row r="323" spans="28:36" x14ac:dyDescent="0.25">
      <c r="AB323" s="83"/>
      <c r="AC323" s="83"/>
      <c r="AD323" s="83"/>
      <c r="AE323" s="83"/>
      <c r="AF323" s="83"/>
      <c r="AG323" s="93" t="s">
        <v>399</v>
      </c>
      <c r="AH323" s="66" t="s">
        <v>630</v>
      </c>
      <c r="AI323" s="66" t="s">
        <v>85</v>
      </c>
      <c r="AJ323" s="94">
        <v>1</v>
      </c>
    </row>
    <row r="324" spans="28:36" x14ac:dyDescent="0.25">
      <c r="AB324" s="83"/>
      <c r="AC324" s="83"/>
      <c r="AD324" s="83"/>
      <c r="AE324" s="83"/>
      <c r="AF324" s="83"/>
      <c r="AG324" s="93" t="s">
        <v>399</v>
      </c>
      <c r="AH324" s="66" t="s">
        <v>630</v>
      </c>
      <c r="AI324" s="66" t="s">
        <v>86</v>
      </c>
      <c r="AJ324" s="94">
        <v>1</v>
      </c>
    </row>
    <row r="325" spans="28:36" x14ac:dyDescent="0.25">
      <c r="AB325" s="83"/>
      <c r="AC325" s="83"/>
      <c r="AD325" s="83"/>
      <c r="AE325" s="83"/>
      <c r="AF325" s="83"/>
      <c r="AG325" s="93" t="s">
        <v>399</v>
      </c>
      <c r="AH325" s="66" t="s">
        <v>630</v>
      </c>
      <c r="AI325" s="66" t="s">
        <v>87</v>
      </c>
      <c r="AJ325" s="94">
        <v>1</v>
      </c>
    </row>
    <row r="326" spans="28:36" x14ac:dyDescent="0.25">
      <c r="AB326" s="83"/>
      <c r="AC326" s="83"/>
      <c r="AD326" s="83"/>
      <c r="AE326" s="83"/>
      <c r="AF326" s="83"/>
      <c r="AG326" s="93" t="s">
        <v>399</v>
      </c>
      <c r="AH326" s="66" t="s">
        <v>630</v>
      </c>
      <c r="AI326" s="66" t="s">
        <v>88</v>
      </c>
      <c r="AJ326" s="94">
        <v>1</v>
      </c>
    </row>
    <row r="327" spans="28:36" x14ac:dyDescent="0.25">
      <c r="AB327" s="83"/>
      <c r="AC327" s="83"/>
      <c r="AD327" s="83"/>
      <c r="AE327" s="83"/>
      <c r="AF327" s="83"/>
      <c r="AG327" s="93" t="s">
        <v>399</v>
      </c>
      <c r="AH327" s="66" t="s">
        <v>630</v>
      </c>
      <c r="AI327" s="66" t="s">
        <v>89</v>
      </c>
      <c r="AJ327" s="94">
        <v>1</v>
      </c>
    </row>
    <row r="328" spans="28:36" x14ac:dyDescent="0.25">
      <c r="AB328" s="83"/>
      <c r="AC328" s="83"/>
      <c r="AD328" s="83"/>
      <c r="AE328" s="83"/>
      <c r="AF328" s="83"/>
      <c r="AG328" s="93" t="s">
        <v>399</v>
      </c>
      <c r="AH328" s="66" t="s">
        <v>630</v>
      </c>
      <c r="AI328" s="66" t="s">
        <v>90</v>
      </c>
      <c r="AJ328" s="94">
        <v>1</v>
      </c>
    </row>
    <row r="329" spans="28:36" x14ac:dyDescent="0.25">
      <c r="AB329" s="83"/>
      <c r="AC329" s="83"/>
      <c r="AD329" s="83"/>
      <c r="AE329" s="83"/>
      <c r="AF329" s="83"/>
      <c r="AG329" s="93" t="s">
        <v>399</v>
      </c>
      <c r="AH329" s="66" t="s">
        <v>630</v>
      </c>
      <c r="AI329" s="66" t="s">
        <v>91</v>
      </c>
      <c r="AJ329" s="94">
        <v>1</v>
      </c>
    </row>
    <row r="330" spans="28:36" x14ac:dyDescent="0.25">
      <c r="AB330" s="83"/>
      <c r="AC330" s="83"/>
      <c r="AD330" s="83"/>
      <c r="AE330" s="83"/>
      <c r="AF330" s="83"/>
      <c r="AG330" s="93" t="s">
        <v>399</v>
      </c>
      <c r="AH330" s="66" t="s">
        <v>630</v>
      </c>
      <c r="AI330" s="66" t="s">
        <v>92</v>
      </c>
      <c r="AJ330" s="94">
        <v>1</v>
      </c>
    </row>
    <row r="331" spans="28:36" x14ac:dyDescent="0.25">
      <c r="AB331" s="83"/>
      <c r="AC331" s="83"/>
      <c r="AD331" s="83"/>
      <c r="AE331" s="83"/>
      <c r="AF331" s="83"/>
      <c r="AG331" s="93" t="s">
        <v>399</v>
      </c>
      <c r="AH331" s="66" t="s">
        <v>630</v>
      </c>
      <c r="AI331" s="66" t="s">
        <v>93</v>
      </c>
      <c r="AJ331" s="94">
        <v>1</v>
      </c>
    </row>
    <row r="332" spans="28:36" x14ac:dyDescent="0.25">
      <c r="AB332" s="83"/>
      <c r="AC332" s="83"/>
      <c r="AD332" s="83"/>
      <c r="AE332" s="83"/>
      <c r="AF332" s="83"/>
      <c r="AG332" s="93" t="s">
        <v>399</v>
      </c>
      <c r="AH332" s="66" t="s">
        <v>630</v>
      </c>
      <c r="AI332" s="66" t="s">
        <v>94</v>
      </c>
      <c r="AJ332" s="94">
        <v>1</v>
      </c>
    </row>
    <row r="333" spans="28:36" x14ac:dyDescent="0.25">
      <c r="AB333" s="83"/>
      <c r="AC333" s="83"/>
      <c r="AD333" s="83"/>
      <c r="AE333" s="83"/>
      <c r="AF333" s="83"/>
      <c r="AG333" s="93" t="s">
        <v>399</v>
      </c>
      <c r="AH333" s="66" t="s">
        <v>630</v>
      </c>
      <c r="AI333" s="66" t="s">
        <v>95</v>
      </c>
      <c r="AJ333" s="94">
        <v>1</v>
      </c>
    </row>
    <row r="334" spans="28:36" x14ac:dyDescent="0.25">
      <c r="AB334" s="83"/>
      <c r="AC334" s="83"/>
      <c r="AD334" s="83"/>
      <c r="AE334" s="83"/>
      <c r="AF334" s="83"/>
      <c r="AG334" s="93" t="s">
        <v>399</v>
      </c>
      <c r="AH334" s="66" t="s">
        <v>630</v>
      </c>
      <c r="AI334" s="66" t="s">
        <v>96</v>
      </c>
      <c r="AJ334" s="94">
        <v>1</v>
      </c>
    </row>
    <row r="335" spans="28:36" x14ac:dyDescent="0.25">
      <c r="AB335" s="83"/>
      <c r="AC335" s="83"/>
      <c r="AD335" s="83"/>
      <c r="AE335" s="83"/>
      <c r="AF335" s="83"/>
      <c r="AG335" s="93" t="s">
        <v>399</v>
      </c>
      <c r="AH335" s="66" t="s">
        <v>445</v>
      </c>
      <c r="AI335" s="66" t="s">
        <v>303</v>
      </c>
      <c r="AJ335" s="94">
        <v>1</v>
      </c>
    </row>
    <row r="336" spans="28:36" x14ac:dyDescent="0.25">
      <c r="AB336" s="83"/>
      <c r="AC336" s="83"/>
      <c r="AD336" s="83"/>
      <c r="AE336" s="83"/>
      <c r="AF336" s="83"/>
      <c r="AG336" s="93" t="s">
        <v>399</v>
      </c>
      <c r="AH336" s="66" t="s">
        <v>445</v>
      </c>
      <c r="AI336" s="66" t="s">
        <v>300</v>
      </c>
      <c r="AJ336" s="94">
        <v>1</v>
      </c>
    </row>
    <row r="337" spans="28:36" x14ac:dyDescent="0.25">
      <c r="AB337" s="83"/>
      <c r="AC337" s="83"/>
      <c r="AD337" s="83"/>
      <c r="AE337" s="83"/>
      <c r="AF337" s="83"/>
      <c r="AG337" s="93" t="s">
        <v>399</v>
      </c>
      <c r="AH337" s="66" t="s">
        <v>445</v>
      </c>
      <c r="AI337" s="66" t="s">
        <v>80</v>
      </c>
      <c r="AJ337" s="94">
        <v>1</v>
      </c>
    </row>
    <row r="338" spans="28:36" x14ac:dyDescent="0.25">
      <c r="AB338" s="83"/>
      <c r="AC338" s="83"/>
      <c r="AD338" s="83"/>
      <c r="AE338" s="83"/>
      <c r="AF338" s="83"/>
      <c r="AG338" s="105" t="s">
        <v>399</v>
      </c>
      <c r="AH338" s="106" t="s">
        <v>445</v>
      </c>
      <c r="AI338" s="106" t="s">
        <v>81</v>
      </c>
      <c r="AJ338" s="107">
        <v>1</v>
      </c>
    </row>
  </sheetData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C4FD7584C11439331BC341DFDB784" ma:contentTypeVersion="16" ma:contentTypeDescription="Crie um novo documento." ma:contentTypeScope="" ma:versionID="25b270aa5c9c2d8705eb40de3e514dec">
  <xsd:schema xmlns:xsd="http://www.w3.org/2001/XMLSchema" xmlns:xs="http://www.w3.org/2001/XMLSchema" xmlns:p="http://schemas.microsoft.com/office/2006/metadata/properties" xmlns:ns2="2000336a-6220-4456-b7ca-d3405d3e5d61" xmlns:ns3="5227280d-8350-440c-bc18-566a4d0daa06" targetNamespace="http://schemas.microsoft.com/office/2006/metadata/properties" ma:root="true" ma:fieldsID="48826339dd4b1826b2cce179b368e958" ns2:_="" ns3:_="">
    <xsd:import namespace="2000336a-6220-4456-b7ca-d3405d3e5d61"/>
    <xsd:import namespace="5227280d-8350-440c-bc18-566a4d0daa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0336a-6220-4456-b7ca-d3405d3e5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5a8096b-bf80-4883-9b46-480afb0d9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7280d-8350-440c-bc18-566a4d0daa0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d49c56-42a5-4d4f-93b8-868175126e9d}" ma:internalName="TaxCatchAll" ma:showField="CatchAllData" ma:web="5227280d-8350-440c-bc18-566a4d0daa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0336a-6220-4456-b7ca-d3405d3e5d61">
      <Terms xmlns="http://schemas.microsoft.com/office/infopath/2007/PartnerControls"/>
    </lcf76f155ced4ddcb4097134ff3c332f>
    <TaxCatchAll xmlns="5227280d-8350-440c-bc18-566a4d0daa06" xsi:nil="true"/>
  </documentManagement>
</p:properties>
</file>

<file path=customXml/itemProps1.xml><?xml version="1.0" encoding="utf-8"?>
<ds:datastoreItem xmlns:ds="http://schemas.openxmlformats.org/officeDocument/2006/customXml" ds:itemID="{802C0365-A9A6-49C4-BDA2-63FBC6EB6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0336a-6220-4456-b7ca-d3405d3e5d61"/>
    <ds:schemaRef ds:uri="5227280d-8350-440c-bc18-566a4d0daa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CE534-F616-4B35-8414-E7FC885B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EDC1C1-AF63-4F74-BF89-448AC96706BE}">
  <ds:schemaRefs>
    <ds:schemaRef ds:uri="5227280d-8350-440c-bc18-566a4d0daa06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2000336a-6220-4456-b7ca-d3405d3e5d6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Resumo de Atividades</vt:lpstr>
      <vt:lpstr>Planilha2</vt:lpstr>
      <vt:lpstr>Base de Envio</vt:lpstr>
      <vt:lpstr>Índice Semanal</vt:lpstr>
      <vt:lpstr>Utilidades (2)</vt:lpstr>
      <vt:lpstr>'Base de Envio'!Area_de_impressao</vt:lpstr>
      <vt:lpstr>'Base de Envio'!Titulos_de_impressao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Ilvis Oliveira</dc:creator>
  <cp:keywords/>
  <dc:description/>
  <cp:lastModifiedBy>Josyane Sampaio</cp:lastModifiedBy>
  <cp:revision/>
  <cp:lastPrinted>2025-12-26T17:16:54Z</cp:lastPrinted>
  <dcterms:created xsi:type="dcterms:W3CDTF">2025-01-21T19:37:47Z</dcterms:created>
  <dcterms:modified xsi:type="dcterms:W3CDTF">2026-05-04T14:41:39Z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0x0101005C9C4FD7584C11439331BC341DFDB784</vt:lpwstr>
  </property>
  <property fmtid="{D5CDD505-2E9C-101B-9397-08002B2CF9AE}" pid="3" name="MediaServiceImageTags">
    <vt:lpwstr/>
  </property>
</Properties>
</file>